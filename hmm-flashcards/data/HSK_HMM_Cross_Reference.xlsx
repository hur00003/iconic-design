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ocabulary" sheetId="1" state="visible" r:id="rId1"/>
    <sheet name="Unique Hanzi" sheetId="2" state="visible" r:id="rId2"/>
    <sheet name="HMM Actors" sheetId="3" state="visible" r:id="rId3"/>
    <sheet name="HMM Locations" sheetId="4" state="visible" r:id="rId4"/>
  </sheets>
  <definedNames>
    <definedName name="_xlnm._FilterDatabase" localSheetId="1" hidden="1">'Unique Hanzi'!$A$1:$L$618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rlito"/>
      <color rgb="FF000000"/>
      <sz val="11"/>
      <scheme val="minor"/>
    </font>
    <font>
      <name val="Aptos"/>
      <b val="1"/>
      <color rgb="FFFFFFFF"/>
      <sz val="11"/>
    </font>
    <font>
      <name val="Carlito"/>
      <color theme="1"/>
      <scheme val="minor"/>
    </font>
    <font>
      <name val="Aptos"/>
      <color rgb="FF172B4D"/>
      <sz val="11"/>
    </font>
    <font>
      <name val="Carlito"/>
      <b val="1"/>
      <color rgb="FF17365D"/>
      <sz val="15"/>
    </font>
    <font>
      <name val="Aptos"/>
      <i val="1"/>
      <color rgb="FF172B4D"/>
      <sz val="11"/>
    </font>
    <font>
      <name val="Aptos"/>
      <b val="1"/>
      <color rgb="FF17365D"/>
      <sz val="15"/>
    </font>
  </fonts>
  <fills count="5">
    <fill>
      <patternFill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7365D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left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4" borderId="0" pivotButton="0" quotePrefix="0" xfId="0"/>
    <xf numFmtId="0" fontId="5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 defaultTableStyle="TableStyleMedium9" defaultPivotStyle="PivotStyleLight16">
    <tableStyle name="Unique Hanz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E1" authorId="0" shapeId="0">
      <text>
        <t>Each character's reading in this word, with its HMM initial + final.</t>
      </text>
    </comment>
  </commentList>
</comments>
</file>

<file path=xl/tables/table1.xml><?xml version="1.0" encoding="utf-8"?>
<table xmlns="http://schemas.openxmlformats.org/spreadsheetml/2006/main" id="1" name="UniqueHanzi" displayName="UniqueHanzi" ref="A1:B618" headerRowCount="1">
  <tableColumns count="2">
    <tableColumn id="1" name="Hanzi"/>
    <tableColumn id="2" name="First HSK level"/>
  </tableColumns>
  <tableStyleInfo name="Unique Hanzi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3" customWidth="1" style="9" min="1" max="1"/>
    <col width="19" customWidth="1" style="9" min="2" max="2"/>
    <col width="25" customWidth="1" style="9" min="3" max="3"/>
    <col width="32.75" customWidth="1" style="9" min="4" max="4"/>
    <col width="44" customWidth="1" style="9" min="5" max="5"/>
    <col width="9" customWidth="1" style="9" min="6" max="6"/>
    <col width="8.630000000000001" customWidth="1" style="9" min="7" max="24"/>
  </cols>
  <sheetData>
    <row r="1" ht="27" customHeight="1" s="9">
      <c r="A1" s="1" t="inlineStr">
        <is>
          <t>HSK level</t>
        </is>
      </c>
      <c r="B1" s="1" t="inlineStr">
        <is>
          <t>Hanzi</t>
        </is>
      </c>
      <c r="C1" s="1" t="inlineStr">
        <is>
          <t>Pinyin</t>
        </is>
      </c>
      <c r="D1" s="1" t="inlineStr">
        <is>
          <t>English meaning</t>
        </is>
      </c>
      <c r="E1" s="10" t="inlineStr">
        <is>
          <t>Character</t>
        </is>
      </c>
      <c r="F1" s="10" t="inlineStr">
        <is>
          <t>Tone</t>
        </is>
      </c>
    </row>
    <row r="2">
      <c r="A2" s="3" t="n">
        <v>1</v>
      </c>
      <c r="B2" s="3" t="inlineStr">
        <is>
          <t>爱</t>
        </is>
      </c>
      <c r="C2" s="3" t="inlineStr">
        <is>
          <t>ài</t>
        </is>
      </c>
      <c r="D2" s="4" t="inlineStr">
        <is>
          <t>love</t>
        </is>
      </c>
      <c r="E2" s="3" t="inlineStr">
        <is>
          <t>爱 ài (Ø+AI)</t>
        </is>
      </c>
      <c r="F2" s="3" t="inlineStr">
        <is>
          <t>4</t>
        </is>
      </c>
    </row>
    <row r="3">
      <c r="A3" s="3" t="n">
        <v>1</v>
      </c>
      <c r="B3" s="3" t="inlineStr">
        <is>
          <t>八</t>
        </is>
      </c>
      <c r="C3" s="3" t="inlineStr">
        <is>
          <t>bā</t>
        </is>
      </c>
      <c r="D3" s="4" t="inlineStr">
        <is>
          <t>eight</t>
        </is>
      </c>
      <c r="E3" s="3" t="inlineStr">
        <is>
          <t>八 bā (B+A)</t>
        </is>
      </c>
      <c r="F3" s="3" t="inlineStr">
        <is>
          <t>1</t>
        </is>
      </c>
    </row>
    <row r="4">
      <c r="A4" s="3" t="n">
        <v>1</v>
      </c>
      <c r="B4" s="3" t="inlineStr">
        <is>
          <t>爸爸</t>
        </is>
      </c>
      <c r="C4" s="3" t="inlineStr">
        <is>
          <t>bàba</t>
        </is>
      </c>
      <c r="D4" s="4" t="inlineStr">
        <is>
          <t>dad; father</t>
        </is>
      </c>
      <c r="E4" s="3" t="inlineStr">
        <is>
          <t>爸 bà (B+A) · 爸 ba (B+A)</t>
        </is>
      </c>
      <c r="F4" s="3" t="inlineStr">
        <is>
          <t>4-5</t>
        </is>
      </c>
    </row>
    <row r="5">
      <c r="A5" s="3" t="n">
        <v>1</v>
      </c>
      <c r="B5" s="3" t="inlineStr">
        <is>
          <t>杯子</t>
        </is>
      </c>
      <c r="C5" s="3" t="inlineStr">
        <is>
          <t>bēizi</t>
        </is>
      </c>
      <c r="D5" s="4" t="inlineStr">
        <is>
          <t>cup; glass</t>
        </is>
      </c>
      <c r="E5" s="3" t="inlineStr">
        <is>
          <t>杯 bēi (B+EI) · 子 zi (Z+Ø (no final))</t>
        </is>
      </c>
      <c r="F5" s="3" t="inlineStr">
        <is>
          <t>1-5</t>
        </is>
      </c>
    </row>
    <row r="6">
      <c r="A6" s="3" t="n">
        <v>1</v>
      </c>
      <c r="B6" s="3" t="inlineStr">
        <is>
          <t>北京</t>
        </is>
      </c>
      <c r="C6" s="3" t="inlineStr">
        <is>
          <t>Běijīng</t>
        </is>
      </c>
      <c r="D6" s="4" t="inlineStr">
        <is>
          <t>Beijing</t>
        </is>
      </c>
      <c r="E6" s="3" t="inlineStr">
        <is>
          <t>北 běi (B+EI) · 京 jīng (J+ING)</t>
        </is>
      </c>
      <c r="F6" s="3" t="inlineStr">
        <is>
          <t>3-1</t>
        </is>
      </c>
    </row>
    <row r="7">
      <c r="A7" s="3" t="n">
        <v>1</v>
      </c>
      <c r="B7" s="3" t="inlineStr">
        <is>
          <t>本</t>
        </is>
      </c>
      <c r="C7" s="3" t="inlineStr">
        <is>
          <t>běn</t>
        </is>
      </c>
      <c r="D7" s="4" t="inlineStr">
        <is>
          <t>measure word for books</t>
        </is>
      </c>
      <c r="E7" s="3" t="inlineStr">
        <is>
          <t>本 běn (B+(E)N)</t>
        </is>
      </c>
      <c r="F7" s="3" t="inlineStr">
        <is>
          <t>3</t>
        </is>
      </c>
    </row>
    <row r="8">
      <c r="A8" s="3" t="n">
        <v>1</v>
      </c>
      <c r="B8" s="3" t="inlineStr">
        <is>
          <t>不客气</t>
        </is>
      </c>
      <c r="C8" s="3" t="inlineStr">
        <is>
          <t>bú kèqi</t>
        </is>
      </c>
      <c r="D8" s="4" t="inlineStr">
        <is>
          <t>you're welcome</t>
        </is>
      </c>
      <c r="E8" s="3" t="inlineStr">
        <is>
          <t>不 bú (B+U) · 客 kè (K+E) · 气 qi (Q+I)</t>
        </is>
      </c>
      <c r="F8" s="3" t="inlineStr">
        <is>
          <t>2-4-5</t>
        </is>
      </c>
    </row>
    <row r="9">
      <c r="A9" s="3" t="n">
        <v>1</v>
      </c>
      <c r="B9" s="3" t="inlineStr">
        <is>
          <t>不</t>
        </is>
      </c>
      <c r="C9" s="3" t="inlineStr">
        <is>
          <t>bù</t>
        </is>
      </c>
      <c r="D9" s="4" t="inlineStr">
        <is>
          <t>no; not</t>
        </is>
      </c>
      <c r="E9" s="3" t="inlineStr">
        <is>
          <t>不 bù (B+U)</t>
        </is>
      </c>
      <c r="F9" s="3" t="inlineStr">
        <is>
          <t>4</t>
        </is>
      </c>
    </row>
    <row r="10">
      <c r="A10" s="3" t="n">
        <v>1</v>
      </c>
      <c r="B10" s="3" t="inlineStr">
        <is>
          <t>菜</t>
        </is>
      </c>
      <c r="C10" s="3" t="inlineStr">
        <is>
          <t>cài</t>
        </is>
      </c>
      <c r="D10" s="4" t="inlineStr">
        <is>
          <t>dish; vegetable</t>
        </is>
      </c>
      <c r="E10" s="3" t="inlineStr">
        <is>
          <t>菜 cài (C+AI)</t>
        </is>
      </c>
      <c r="F10" s="3" t="inlineStr">
        <is>
          <t>4</t>
        </is>
      </c>
    </row>
    <row r="11">
      <c r="A11" s="3" t="n">
        <v>1</v>
      </c>
      <c r="B11" s="3" t="inlineStr">
        <is>
          <t>茶</t>
        </is>
      </c>
      <c r="C11" s="3" t="inlineStr">
        <is>
          <t>chá</t>
        </is>
      </c>
      <c r="D11" s="4" t="inlineStr">
        <is>
          <t>tea</t>
        </is>
      </c>
      <c r="E11" s="3" t="inlineStr">
        <is>
          <t>茶 chá (CH+A)</t>
        </is>
      </c>
      <c r="F11" s="3" t="inlineStr">
        <is>
          <t>2</t>
        </is>
      </c>
    </row>
    <row r="12">
      <c r="A12" s="3" t="n">
        <v>1</v>
      </c>
      <c r="B12" s="3" t="inlineStr">
        <is>
          <t>吃</t>
        </is>
      </c>
      <c r="C12" s="3" t="inlineStr">
        <is>
          <t>chī</t>
        </is>
      </c>
      <c r="D12" s="4" t="inlineStr">
        <is>
          <t>eat</t>
        </is>
      </c>
      <c r="E12" s="3" t="inlineStr">
        <is>
          <t>吃 chī (CH+Ø (no final))</t>
        </is>
      </c>
      <c r="F12" s="3" t="inlineStr">
        <is>
          <t>1</t>
        </is>
      </c>
    </row>
    <row r="13">
      <c r="A13" s="3" t="n">
        <v>1</v>
      </c>
      <c r="B13" s="3" t="inlineStr">
        <is>
          <t>出租车</t>
        </is>
      </c>
      <c r="C13" s="3" t="inlineStr">
        <is>
          <t>chūzūchē</t>
        </is>
      </c>
      <c r="D13" s="4" t="inlineStr">
        <is>
          <t>taxi</t>
        </is>
      </c>
      <c r="E13" s="3" t="inlineStr">
        <is>
          <t>出 chū (CH+U) · 租 zū (Z+U) · 车 chē (CH+E)</t>
        </is>
      </c>
      <c r="F13" s="3" t="inlineStr">
        <is>
          <t>1-1-1</t>
        </is>
      </c>
    </row>
    <row r="14">
      <c r="A14" s="3" t="n">
        <v>1</v>
      </c>
      <c r="B14" s="3" t="inlineStr">
        <is>
          <t>打电话</t>
        </is>
      </c>
      <c r="C14" s="3" t="inlineStr">
        <is>
          <t>dǎ diànhuà</t>
        </is>
      </c>
      <c r="D14" s="4" t="inlineStr">
        <is>
          <t>make a phone call</t>
        </is>
      </c>
      <c r="E14" s="3" t="inlineStr">
        <is>
          <t>打 dǎ (D+A) · 电 diàn (D+IAN) · 话 huà (H+UA)</t>
        </is>
      </c>
      <c r="F14" s="3" t="inlineStr">
        <is>
          <t>3-4-4</t>
        </is>
      </c>
    </row>
    <row r="15">
      <c r="A15" s="3" t="n">
        <v>1</v>
      </c>
      <c r="B15" s="3" t="inlineStr">
        <is>
          <t>大</t>
        </is>
      </c>
      <c r="C15" s="3" t="inlineStr">
        <is>
          <t>dà</t>
        </is>
      </c>
      <c r="D15" s="4" t="inlineStr">
        <is>
          <t>big; large</t>
        </is>
      </c>
      <c r="E15" s="3" t="inlineStr">
        <is>
          <t>大 dà (D+A)</t>
        </is>
      </c>
      <c r="F15" s="3" t="inlineStr">
        <is>
          <t>4</t>
        </is>
      </c>
    </row>
    <row r="16">
      <c r="A16" s="3" t="n">
        <v>1</v>
      </c>
      <c r="B16" s="3" t="inlineStr">
        <is>
          <t>的</t>
        </is>
      </c>
      <c r="C16" s="3" t="inlineStr">
        <is>
          <t>de</t>
        </is>
      </c>
      <c r="D16" s="4" t="inlineStr">
        <is>
          <t>possessive particle</t>
        </is>
      </c>
      <c r="E16" s="3" t="inlineStr">
        <is>
          <t>的 de (D+E)</t>
        </is>
      </c>
      <c r="F16" s="3" t="inlineStr">
        <is>
          <t>5</t>
        </is>
      </c>
    </row>
    <row r="17">
      <c r="A17" s="3" t="n">
        <v>1</v>
      </c>
      <c r="B17" s="3" t="inlineStr">
        <is>
          <t>点</t>
        </is>
      </c>
      <c r="C17" s="3" t="inlineStr">
        <is>
          <t>diǎn</t>
        </is>
      </c>
      <c r="D17" s="4" t="inlineStr">
        <is>
          <t>o'clock; point</t>
        </is>
      </c>
      <c r="E17" s="3" t="inlineStr">
        <is>
          <t>点 diǎn (D+IAN)</t>
        </is>
      </c>
      <c r="F17" s="3" t="inlineStr">
        <is>
          <t>3</t>
        </is>
      </c>
    </row>
    <row r="18">
      <c r="A18" s="3" t="n">
        <v>1</v>
      </c>
      <c r="B18" s="3" t="inlineStr">
        <is>
          <t>电脑</t>
        </is>
      </c>
      <c r="C18" s="3" t="inlineStr">
        <is>
          <t>diànnǎo</t>
        </is>
      </c>
      <c r="D18" s="4" t="inlineStr">
        <is>
          <t>computer</t>
        </is>
      </c>
      <c r="E18" s="3" t="inlineStr">
        <is>
          <t>电 diàn (D+IAN) · 脑 nǎo (N+AO)</t>
        </is>
      </c>
      <c r="F18" s="3" t="inlineStr">
        <is>
          <t>4-3</t>
        </is>
      </c>
    </row>
    <row r="19">
      <c r="A19" s="3" t="n">
        <v>1</v>
      </c>
      <c r="B19" s="3" t="inlineStr">
        <is>
          <t>电视</t>
        </is>
      </c>
      <c r="C19" s="3" t="inlineStr">
        <is>
          <t>diànshì</t>
        </is>
      </c>
      <c r="D19" s="4" t="inlineStr">
        <is>
          <t>television</t>
        </is>
      </c>
      <c r="E19" s="3" t="inlineStr">
        <is>
          <t>电 diàn (D+IAN) · 视 shì (SH+Ø (no final))</t>
        </is>
      </c>
      <c r="F19" s="3" t="inlineStr">
        <is>
          <t>4-4</t>
        </is>
      </c>
    </row>
    <row r="20">
      <c r="A20" s="3" t="n">
        <v>1</v>
      </c>
      <c r="B20" s="3" t="inlineStr">
        <is>
          <t>电影</t>
        </is>
      </c>
      <c r="C20" s="3" t="inlineStr">
        <is>
          <t>diànyǐng</t>
        </is>
      </c>
      <c r="D20" s="4" t="inlineStr">
        <is>
          <t>movie</t>
        </is>
      </c>
      <c r="E20" s="3" t="inlineStr">
        <is>
          <t>电 diàn (D+IAN) · 影 yǐng (Y+ING)</t>
        </is>
      </c>
      <c r="F20" s="3" t="inlineStr">
        <is>
          <t>4-3</t>
        </is>
      </c>
    </row>
    <row r="21" ht="15.75" customHeight="1" s="9">
      <c r="A21" s="3" t="n">
        <v>1</v>
      </c>
      <c r="B21" s="3" t="inlineStr">
        <is>
          <t>东西</t>
        </is>
      </c>
      <c r="C21" s="3" t="inlineStr">
        <is>
          <t>dōngxi</t>
        </is>
      </c>
      <c r="D21" s="4" t="inlineStr">
        <is>
          <t>thing; stuff</t>
        </is>
      </c>
      <c r="E21" s="3" t="inlineStr">
        <is>
          <t>东 dōng (D+ONG) · 西 xi (X+I)</t>
        </is>
      </c>
      <c r="F21" s="3" t="inlineStr">
        <is>
          <t>1-5</t>
        </is>
      </c>
    </row>
    <row r="22" ht="15.75" customHeight="1" s="9">
      <c r="A22" s="3" t="n">
        <v>1</v>
      </c>
      <c r="B22" s="3" t="inlineStr">
        <is>
          <t>都</t>
        </is>
      </c>
      <c r="C22" s="3" t="inlineStr">
        <is>
          <t>dōu</t>
        </is>
      </c>
      <c r="D22" s="4" t="inlineStr">
        <is>
          <t>all; both</t>
        </is>
      </c>
      <c r="E22" s="3" t="inlineStr">
        <is>
          <t>都 dōu (D+OU)</t>
        </is>
      </c>
      <c r="F22" s="3" t="inlineStr">
        <is>
          <t>1</t>
        </is>
      </c>
    </row>
    <row r="23" ht="15.75" customHeight="1" s="9">
      <c r="A23" s="3" t="n">
        <v>1</v>
      </c>
      <c r="B23" s="3" t="inlineStr">
        <is>
          <t>读</t>
        </is>
      </c>
      <c r="C23" s="3" t="inlineStr">
        <is>
          <t>dú</t>
        </is>
      </c>
      <c r="D23" s="4" t="inlineStr">
        <is>
          <t>read</t>
        </is>
      </c>
      <c r="E23" s="3" t="inlineStr">
        <is>
          <t>读 dú (D+U)</t>
        </is>
      </c>
      <c r="F23" s="3" t="inlineStr">
        <is>
          <t>2</t>
        </is>
      </c>
    </row>
    <row r="24" ht="15.75" customHeight="1" s="9">
      <c r="A24" s="3" t="n">
        <v>1</v>
      </c>
      <c r="B24" s="3" t="inlineStr">
        <is>
          <t>对不起</t>
        </is>
      </c>
      <c r="C24" s="3" t="inlineStr">
        <is>
          <t>duìbuqǐ</t>
        </is>
      </c>
      <c r="D24" s="4" t="inlineStr">
        <is>
          <t>sorry</t>
        </is>
      </c>
      <c r="E24" s="3" t="inlineStr">
        <is>
          <t>对 duì (D+UI) · 不 bu (B+U) · 起 qǐ (Q+I)</t>
        </is>
      </c>
      <c r="F24" s="3" t="inlineStr">
        <is>
          <t>4-5-3</t>
        </is>
      </c>
    </row>
    <row r="25" ht="15.75" customHeight="1" s="9">
      <c r="A25" s="3" t="n">
        <v>1</v>
      </c>
      <c r="B25" s="3" t="inlineStr">
        <is>
          <t>多</t>
        </is>
      </c>
      <c r="C25" s="3" t="inlineStr">
        <is>
          <t>duō</t>
        </is>
      </c>
      <c r="D25" s="4" t="inlineStr">
        <is>
          <t>many; much</t>
        </is>
      </c>
      <c r="E25" s="3" t="inlineStr">
        <is>
          <t>多 duō (D+UO)</t>
        </is>
      </c>
      <c r="F25" s="3" t="inlineStr">
        <is>
          <t>1</t>
        </is>
      </c>
    </row>
    <row r="26" ht="15.75" customHeight="1" s="9">
      <c r="A26" s="3" t="n">
        <v>1</v>
      </c>
      <c r="B26" s="3" t="inlineStr">
        <is>
          <t>多少</t>
        </is>
      </c>
      <c r="C26" s="3" t="inlineStr">
        <is>
          <t>duōshao</t>
        </is>
      </c>
      <c r="D26" s="4" t="inlineStr">
        <is>
          <t>how many; how much</t>
        </is>
      </c>
      <c r="E26" s="3" t="inlineStr">
        <is>
          <t>多 duō (D+UO) · 少 shao (SH+AO)</t>
        </is>
      </c>
      <c r="F26" s="3" t="inlineStr">
        <is>
          <t>1-5</t>
        </is>
      </c>
    </row>
    <row r="27" ht="15.75" customHeight="1" s="9">
      <c r="A27" s="3" t="n">
        <v>1</v>
      </c>
      <c r="B27" s="3" t="inlineStr">
        <is>
          <t>儿子</t>
        </is>
      </c>
      <c r="C27" s="3" t="inlineStr">
        <is>
          <t>érzi</t>
        </is>
      </c>
      <c r="D27" s="4" t="inlineStr">
        <is>
          <t>son</t>
        </is>
      </c>
      <c r="E27" s="3" t="inlineStr">
        <is>
          <t>儿 ér (Ø+ER) · 子 zi (Z+Ø (no final))</t>
        </is>
      </c>
      <c r="F27" s="3" t="inlineStr">
        <is>
          <t>2-5</t>
        </is>
      </c>
    </row>
    <row r="28" ht="15.75" customHeight="1" s="9">
      <c r="A28" s="3" t="n">
        <v>1</v>
      </c>
      <c r="B28" s="3" t="inlineStr">
        <is>
          <t>二</t>
        </is>
      </c>
      <c r="C28" s="3" t="inlineStr">
        <is>
          <t>èr</t>
        </is>
      </c>
      <c r="D28" s="4" t="inlineStr">
        <is>
          <t>two</t>
        </is>
      </c>
      <c r="E28" s="3" t="inlineStr">
        <is>
          <t>二 èr (Ø+ER)</t>
        </is>
      </c>
      <c r="F28" s="3" t="inlineStr">
        <is>
          <t>4</t>
        </is>
      </c>
    </row>
    <row r="29" ht="15.75" customHeight="1" s="9">
      <c r="A29" s="3" t="n">
        <v>1</v>
      </c>
      <c r="B29" s="3" t="inlineStr">
        <is>
          <t>饭店</t>
        </is>
      </c>
      <c r="C29" s="3" t="inlineStr">
        <is>
          <t>fàndiàn</t>
        </is>
      </c>
      <c r="D29" s="4" t="inlineStr">
        <is>
          <t>restaurant; hotel</t>
        </is>
      </c>
      <c r="E29" s="3" t="inlineStr">
        <is>
          <t>饭 fàn (F+AN) · 店 diàn (D+IAN)</t>
        </is>
      </c>
      <c r="F29" s="3" t="inlineStr">
        <is>
          <t>4-4</t>
        </is>
      </c>
    </row>
    <row r="30" ht="15.75" customHeight="1" s="9">
      <c r="A30" s="3" t="n">
        <v>1</v>
      </c>
      <c r="B30" s="3" t="inlineStr">
        <is>
          <t>飞机</t>
        </is>
      </c>
      <c r="C30" s="3" t="inlineStr">
        <is>
          <t>fēijī</t>
        </is>
      </c>
      <c r="D30" s="4" t="inlineStr">
        <is>
          <t>airplane</t>
        </is>
      </c>
      <c r="E30" s="3" t="inlineStr">
        <is>
          <t>飞 fēi (F+EI) · 机 jī (J+I)</t>
        </is>
      </c>
      <c r="F30" s="3" t="inlineStr">
        <is>
          <t>1-1</t>
        </is>
      </c>
    </row>
    <row r="31" ht="15.75" customHeight="1" s="9">
      <c r="A31" s="3" t="n">
        <v>1</v>
      </c>
      <c r="B31" s="3" t="inlineStr">
        <is>
          <t>分钟</t>
        </is>
      </c>
      <c r="C31" s="3" t="inlineStr">
        <is>
          <t>fēnzhōng</t>
        </is>
      </c>
      <c r="D31" s="4" t="inlineStr">
        <is>
          <t>minute</t>
        </is>
      </c>
      <c r="E31" s="3" t="inlineStr">
        <is>
          <t>分 fēn (F+(E)N) · 钟 zhōng (ZH+ONG)</t>
        </is>
      </c>
      <c r="F31" s="3" t="inlineStr">
        <is>
          <t>1-1</t>
        </is>
      </c>
    </row>
    <row r="32" ht="15.75" customHeight="1" s="9">
      <c r="A32" s="3" t="n">
        <v>1</v>
      </c>
      <c r="B32" s="3" t="inlineStr">
        <is>
          <t>高兴</t>
        </is>
      </c>
      <c r="C32" s="3" t="inlineStr">
        <is>
          <t>gāoxìng</t>
        </is>
      </c>
      <c r="D32" s="4" t="inlineStr">
        <is>
          <t>happy</t>
        </is>
      </c>
      <c r="E32" s="3" t="inlineStr">
        <is>
          <t>高 gāo (G+AO) · 兴 xìng (X+ING)</t>
        </is>
      </c>
      <c r="F32" s="3" t="inlineStr">
        <is>
          <t>1-4</t>
        </is>
      </c>
    </row>
    <row r="33" ht="15.75" customHeight="1" s="9">
      <c r="A33" s="3" t="n">
        <v>1</v>
      </c>
      <c r="B33" s="3" t="inlineStr">
        <is>
          <t>个</t>
        </is>
      </c>
      <c r="C33" s="3" t="inlineStr">
        <is>
          <t>gè</t>
        </is>
      </c>
      <c r="D33" s="4" t="inlineStr">
        <is>
          <t>general measure word</t>
        </is>
      </c>
      <c r="E33" s="3" t="inlineStr">
        <is>
          <t>个 gè (G+E)</t>
        </is>
      </c>
      <c r="F33" s="3" t="inlineStr">
        <is>
          <t>4</t>
        </is>
      </c>
    </row>
    <row r="34" ht="15.75" customHeight="1" s="9">
      <c r="A34" s="3" t="n">
        <v>1</v>
      </c>
      <c r="B34" s="3" t="inlineStr">
        <is>
          <t>工作</t>
        </is>
      </c>
      <c r="C34" s="3" t="inlineStr">
        <is>
          <t>gōngzuò</t>
        </is>
      </c>
      <c r="D34" s="4" t="inlineStr">
        <is>
          <t>work; job</t>
        </is>
      </c>
      <c r="E34" s="3" t="inlineStr">
        <is>
          <t>工 gōng (G+ONG) · 作 zuò (Z+UO)</t>
        </is>
      </c>
      <c r="F34" s="3" t="inlineStr">
        <is>
          <t>1-4</t>
        </is>
      </c>
    </row>
    <row r="35" ht="15.75" customHeight="1" s="9">
      <c r="A35" s="3" t="n">
        <v>1</v>
      </c>
      <c r="B35" s="3" t="inlineStr">
        <is>
          <t>狗</t>
        </is>
      </c>
      <c r="C35" s="3" t="inlineStr">
        <is>
          <t>gǒu</t>
        </is>
      </c>
      <c r="D35" s="4" t="inlineStr">
        <is>
          <t>dog</t>
        </is>
      </c>
      <c r="E35" s="3" t="inlineStr">
        <is>
          <t>狗 gǒu (G+OU)</t>
        </is>
      </c>
      <c r="F35" s="3" t="inlineStr">
        <is>
          <t>3</t>
        </is>
      </c>
    </row>
    <row r="36" ht="15.75" customHeight="1" s="9">
      <c r="A36" s="3" t="n">
        <v>1</v>
      </c>
      <c r="B36" s="3" t="inlineStr">
        <is>
          <t>汉语</t>
        </is>
      </c>
      <c r="C36" s="3" t="inlineStr">
        <is>
          <t>Hànyǔ</t>
        </is>
      </c>
      <c r="D36" s="4" t="inlineStr">
        <is>
          <t>Chinese language</t>
        </is>
      </c>
      <c r="E36" s="3" t="inlineStr">
        <is>
          <t>汉 hàn (H+AN) · 语 yǔ (Y+U)</t>
        </is>
      </c>
      <c r="F36" s="3" t="inlineStr">
        <is>
          <t>4-3</t>
        </is>
      </c>
    </row>
    <row r="37" ht="15.75" customHeight="1" s="9">
      <c r="A37" s="3" t="n">
        <v>1</v>
      </c>
      <c r="B37" s="3" t="inlineStr">
        <is>
          <t>好</t>
        </is>
      </c>
      <c r="C37" s="3" t="inlineStr">
        <is>
          <t>hǎo</t>
        </is>
      </c>
      <c r="D37" s="4" t="inlineStr">
        <is>
          <t>good; well</t>
        </is>
      </c>
      <c r="E37" s="3" t="inlineStr">
        <is>
          <t>好 hǎo (H+AO)</t>
        </is>
      </c>
      <c r="F37" s="3" t="inlineStr">
        <is>
          <t>3</t>
        </is>
      </c>
    </row>
    <row r="38" ht="15.75" customHeight="1" s="9">
      <c r="A38" s="3" t="n">
        <v>1</v>
      </c>
      <c r="B38" s="3" t="inlineStr">
        <is>
          <t>喝</t>
        </is>
      </c>
      <c r="C38" s="3" t="inlineStr">
        <is>
          <t>hē</t>
        </is>
      </c>
      <c r="D38" s="4" t="inlineStr">
        <is>
          <t>drink</t>
        </is>
      </c>
      <c r="E38" s="3" t="inlineStr">
        <is>
          <t>喝 hē (H+E)</t>
        </is>
      </c>
      <c r="F38" s="3" t="inlineStr">
        <is>
          <t>1</t>
        </is>
      </c>
    </row>
    <row r="39" ht="15.75" customHeight="1" s="9">
      <c r="A39" s="3" t="n">
        <v>1</v>
      </c>
      <c r="B39" s="3" t="inlineStr">
        <is>
          <t>和</t>
        </is>
      </c>
      <c r="C39" s="3" t="inlineStr">
        <is>
          <t>hé</t>
        </is>
      </c>
      <c r="D39" s="4" t="inlineStr">
        <is>
          <t>and; with</t>
        </is>
      </c>
      <c r="E39" s="3" t="inlineStr">
        <is>
          <t>和 hé (H+E)</t>
        </is>
      </c>
      <c r="F39" s="3" t="inlineStr">
        <is>
          <t>2</t>
        </is>
      </c>
    </row>
    <row r="40" ht="15.75" customHeight="1" s="9">
      <c r="A40" s="3" t="n">
        <v>1</v>
      </c>
      <c r="B40" s="3" t="inlineStr">
        <is>
          <t>很</t>
        </is>
      </c>
      <c r="C40" s="3" t="inlineStr">
        <is>
          <t>hěn</t>
        </is>
      </c>
      <c r="D40" s="4" t="inlineStr">
        <is>
          <t>very</t>
        </is>
      </c>
      <c r="E40" s="3" t="inlineStr">
        <is>
          <t>很 hěn (H+(E)N)</t>
        </is>
      </c>
      <c r="F40" s="3" t="inlineStr">
        <is>
          <t>3</t>
        </is>
      </c>
    </row>
    <row r="41" ht="15.75" customHeight="1" s="9">
      <c r="A41" s="3" t="n">
        <v>1</v>
      </c>
      <c r="B41" s="3" t="inlineStr">
        <is>
          <t>后面</t>
        </is>
      </c>
      <c r="C41" s="3" t="inlineStr">
        <is>
          <t>hòumiàn</t>
        </is>
      </c>
      <c r="D41" s="4" t="inlineStr">
        <is>
          <t>behind; back</t>
        </is>
      </c>
      <c r="E41" s="3" t="inlineStr">
        <is>
          <t>后 hòu (H+OU) · 面 miàn (M+IAN)</t>
        </is>
      </c>
      <c r="F41" s="3" t="inlineStr">
        <is>
          <t>4-4</t>
        </is>
      </c>
    </row>
    <row r="42" ht="15.75" customHeight="1" s="9">
      <c r="A42" s="3" t="n">
        <v>1</v>
      </c>
      <c r="B42" s="3" t="inlineStr">
        <is>
          <t>回</t>
        </is>
      </c>
      <c r="C42" s="3" t="inlineStr">
        <is>
          <t>huí</t>
        </is>
      </c>
      <c r="D42" s="4" t="inlineStr">
        <is>
          <t>return; go back</t>
        </is>
      </c>
      <c r="E42" s="3" t="inlineStr">
        <is>
          <t>回 huí (H+UI)</t>
        </is>
      </c>
      <c r="F42" s="3" t="inlineStr">
        <is>
          <t>2</t>
        </is>
      </c>
    </row>
    <row r="43" ht="15.75" customHeight="1" s="9">
      <c r="A43" s="3" t="n">
        <v>1</v>
      </c>
      <c r="B43" s="3" t="inlineStr">
        <is>
          <t>会</t>
        </is>
      </c>
      <c r="C43" s="3" t="inlineStr">
        <is>
          <t>huì</t>
        </is>
      </c>
      <c r="D43" s="4" t="inlineStr">
        <is>
          <t>can; be able to</t>
        </is>
      </c>
      <c r="E43" s="3" t="inlineStr">
        <is>
          <t>会 huì (H+UI)</t>
        </is>
      </c>
      <c r="F43" s="3" t="inlineStr">
        <is>
          <t>4</t>
        </is>
      </c>
    </row>
    <row r="44" ht="15.75" customHeight="1" s="9">
      <c r="A44" s="3" t="n">
        <v>1</v>
      </c>
      <c r="B44" s="3" t="inlineStr">
        <is>
          <t>几</t>
        </is>
      </c>
      <c r="C44" s="3" t="inlineStr">
        <is>
          <t>jǐ</t>
        </is>
      </c>
      <c r="D44" s="4" t="inlineStr">
        <is>
          <t>how many; several</t>
        </is>
      </c>
      <c r="E44" s="3" t="inlineStr">
        <is>
          <t>几 jǐ (J+I)</t>
        </is>
      </c>
      <c r="F44" s="3" t="inlineStr">
        <is>
          <t>3</t>
        </is>
      </c>
    </row>
    <row r="45" ht="15.75" customHeight="1" s="9">
      <c r="A45" s="3" t="n">
        <v>1</v>
      </c>
      <c r="B45" s="3" t="inlineStr">
        <is>
          <t>家</t>
        </is>
      </c>
      <c r="C45" s="3" t="inlineStr">
        <is>
          <t>jiā</t>
        </is>
      </c>
      <c r="D45" s="4" t="inlineStr">
        <is>
          <t>home; family</t>
        </is>
      </c>
      <c r="E45" s="3" t="inlineStr">
        <is>
          <t>家 jiā (J+IA)</t>
        </is>
      </c>
      <c r="F45" s="3" t="inlineStr">
        <is>
          <t>1</t>
        </is>
      </c>
    </row>
    <row r="46" ht="15.75" customHeight="1" s="9">
      <c r="A46" s="3" t="n">
        <v>1</v>
      </c>
      <c r="B46" s="3" t="inlineStr">
        <is>
          <t>叫</t>
        </is>
      </c>
      <c r="C46" s="3" t="inlineStr">
        <is>
          <t>jiào</t>
        </is>
      </c>
      <c r="D46" s="4" t="inlineStr">
        <is>
          <t>be called; call</t>
        </is>
      </c>
      <c r="E46" s="3" t="inlineStr">
        <is>
          <t>叫 jiào (J+IAO)</t>
        </is>
      </c>
      <c r="F46" s="3" t="inlineStr">
        <is>
          <t>4</t>
        </is>
      </c>
    </row>
    <row r="47" ht="15.75" customHeight="1" s="9">
      <c r="A47" s="3" t="n">
        <v>1</v>
      </c>
      <c r="B47" s="3" t="inlineStr">
        <is>
          <t>今天</t>
        </is>
      </c>
      <c r="C47" s="3" t="inlineStr">
        <is>
          <t>jīntiān</t>
        </is>
      </c>
      <c r="D47" s="4" t="inlineStr">
        <is>
          <t>today</t>
        </is>
      </c>
      <c r="E47" s="3" t="inlineStr">
        <is>
          <t>今 jīn (J+IN) · 天 tiān (T+IAN)</t>
        </is>
      </c>
      <c r="F47" s="3" t="inlineStr">
        <is>
          <t>1-1</t>
        </is>
      </c>
    </row>
    <row r="48" ht="15.75" customHeight="1" s="9">
      <c r="A48" s="3" t="n">
        <v>1</v>
      </c>
      <c r="B48" s="3" t="inlineStr">
        <is>
          <t>九</t>
        </is>
      </c>
      <c r="C48" s="3" t="inlineStr">
        <is>
          <t>jiǔ</t>
        </is>
      </c>
      <c r="D48" s="4" t="inlineStr">
        <is>
          <t>nine</t>
        </is>
      </c>
      <c r="E48" s="3" t="inlineStr">
        <is>
          <t>九 jiǔ (J+IU)</t>
        </is>
      </c>
      <c r="F48" s="3" t="inlineStr">
        <is>
          <t>3</t>
        </is>
      </c>
    </row>
    <row r="49" ht="15.75" customHeight="1" s="9">
      <c r="A49" s="3" t="n">
        <v>1</v>
      </c>
      <c r="B49" s="3" t="inlineStr">
        <is>
          <t>开</t>
        </is>
      </c>
      <c r="C49" s="3" t="inlineStr">
        <is>
          <t>kāi</t>
        </is>
      </c>
      <c r="D49" s="4" t="inlineStr">
        <is>
          <t>open; drive; start</t>
        </is>
      </c>
      <c r="E49" s="3" t="inlineStr">
        <is>
          <t>开 kāi (K+AI)</t>
        </is>
      </c>
      <c r="F49" s="3" t="inlineStr">
        <is>
          <t>1</t>
        </is>
      </c>
    </row>
    <row r="50" ht="15.75" customHeight="1" s="9">
      <c r="A50" s="3" t="n">
        <v>1</v>
      </c>
      <c r="B50" s="3" t="inlineStr">
        <is>
          <t>看</t>
        </is>
      </c>
      <c r="C50" s="3" t="inlineStr">
        <is>
          <t>kàn</t>
        </is>
      </c>
      <c r="D50" s="4" t="inlineStr">
        <is>
          <t>look; watch; read</t>
        </is>
      </c>
      <c r="E50" s="3" t="inlineStr">
        <is>
          <t>看 kàn (K+AN)</t>
        </is>
      </c>
      <c r="F50" s="3" t="inlineStr">
        <is>
          <t>4</t>
        </is>
      </c>
    </row>
    <row r="51" ht="15.75" customHeight="1" s="9">
      <c r="A51" s="3" t="n">
        <v>1</v>
      </c>
      <c r="B51" s="3" t="inlineStr">
        <is>
          <t>看见</t>
        </is>
      </c>
      <c r="C51" s="3" t="inlineStr">
        <is>
          <t>kànjiàn</t>
        </is>
      </c>
      <c r="D51" s="4" t="inlineStr">
        <is>
          <t>see</t>
        </is>
      </c>
      <c r="E51" s="3" t="inlineStr">
        <is>
          <t>看 kàn (K+AN) · 见 jiàn (J+IAN)</t>
        </is>
      </c>
      <c r="F51" s="3" t="inlineStr">
        <is>
          <t>4-4</t>
        </is>
      </c>
    </row>
    <row r="52" ht="15.75" customHeight="1" s="9">
      <c r="A52" s="3" t="n">
        <v>1</v>
      </c>
      <c r="B52" s="3" t="inlineStr">
        <is>
          <t>块</t>
        </is>
      </c>
      <c r="C52" s="3" t="inlineStr">
        <is>
          <t>kuài</t>
        </is>
      </c>
      <c r="D52" s="4" t="inlineStr">
        <is>
          <t>yuan; piece</t>
        </is>
      </c>
      <c r="E52" s="3" t="inlineStr">
        <is>
          <t>块 kuài (K+UAI)</t>
        </is>
      </c>
      <c r="F52" s="3" t="inlineStr">
        <is>
          <t>4</t>
        </is>
      </c>
    </row>
    <row r="53" ht="15.75" customHeight="1" s="9">
      <c r="A53" s="3" t="n">
        <v>1</v>
      </c>
      <c r="B53" s="3" t="inlineStr">
        <is>
          <t>来</t>
        </is>
      </c>
      <c r="C53" s="3" t="inlineStr">
        <is>
          <t>lái</t>
        </is>
      </c>
      <c r="D53" s="4" t="inlineStr">
        <is>
          <t>come</t>
        </is>
      </c>
      <c r="E53" s="3" t="inlineStr">
        <is>
          <t>来 lái (L+AI)</t>
        </is>
      </c>
      <c r="F53" s="3" t="inlineStr">
        <is>
          <t>2</t>
        </is>
      </c>
    </row>
    <row r="54" ht="15.75" customHeight="1" s="9">
      <c r="A54" s="3" t="n">
        <v>1</v>
      </c>
      <c r="B54" s="3" t="inlineStr">
        <is>
          <t>老师</t>
        </is>
      </c>
      <c r="C54" s="3" t="inlineStr">
        <is>
          <t>lǎoshī</t>
        </is>
      </c>
      <c r="D54" s="4" t="inlineStr">
        <is>
          <t>teacher</t>
        </is>
      </c>
      <c r="E54" s="3" t="inlineStr">
        <is>
          <t>老 lǎo (L+AO) · 师 shī (SH+Ø (no final))</t>
        </is>
      </c>
      <c r="F54" s="3" t="inlineStr">
        <is>
          <t>3-1</t>
        </is>
      </c>
    </row>
    <row r="55" ht="15.75" customHeight="1" s="9">
      <c r="A55" s="3" t="n">
        <v>1</v>
      </c>
      <c r="B55" s="3" t="inlineStr">
        <is>
          <t>了</t>
        </is>
      </c>
      <c r="C55" s="3" t="inlineStr">
        <is>
          <t>le</t>
        </is>
      </c>
      <c r="D55" s="4" t="inlineStr">
        <is>
          <t>completed-action particle</t>
        </is>
      </c>
      <c r="E55" s="3" t="inlineStr">
        <is>
          <t>了 le (L+E)</t>
        </is>
      </c>
      <c r="F55" s="3" t="inlineStr">
        <is>
          <t>5</t>
        </is>
      </c>
    </row>
    <row r="56" ht="15.75" customHeight="1" s="9">
      <c r="A56" s="3" t="n">
        <v>1</v>
      </c>
      <c r="B56" s="3" t="inlineStr">
        <is>
          <t>冷</t>
        </is>
      </c>
      <c r="C56" s="3" t="inlineStr">
        <is>
          <t>lěng</t>
        </is>
      </c>
      <c r="D56" s="4" t="inlineStr">
        <is>
          <t>cold</t>
        </is>
      </c>
      <c r="E56" s="3" t="inlineStr">
        <is>
          <t>冷 lěng (L+(E)NG)</t>
        </is>
      </c>
      <c r="F56" s="3" t="inlineStr">
        <is>
          <t>3</t>
        </is>
      </c>
    </row>
    <row r="57" ht="15.75" customHeight="1" s="9">
      <c r="A57" s="3" t="n">
        <v>1</v>
      </c>
      <c r="B57" s="3" t="inlineStr">
        <is>
          <t>里</t>
        </is>
      </c>
      <c r="C57" s="3" t="inlineStr">
        <is>
          <t>lǐ</t>
        </is>
      </c>
      <c r="D57" s="4" t="inlineStr">
        <is>
          <t>inside; in</t>
        </is>
      </c>
      <c r="E57" s="3" t="inlineStr">
        <is>
          <t>里 lǐ (L+I)</t>
        </is>
      </c>
      <c r="F57" s="3" t="inlineStr">
        <is>
          <t>3</t>
        </is>
      </c>
    </row>
    <row r="58" ht="15.75" customHeight="1" s="9">
      <c r="A58" s="3" t="n">
        <v>1</v>
      </c>
      <c r="B58" s="3" t="inlineStr">
        <is>
          <t>号</t>
        </is>
      </c>
      <c r="C58" s="3" t="inlineStr">
        <is>
          <t>hào</t>
        </is>
      </c>
      <c r="D58" s="4" t="inlineStr">
        <is>
          <t>number; date</t>
        </is>
      </c>
      <c r="E58" s="3" t="inlineStr">
        <is>
          <t>号 hào (H+AO)</t>
        </is>
      </c>
      <c r="F58" s="3" t="inlineStr">
        <is>
          <t>4</t>
        </is>
      </c>
    </row>
    <row r="59" ht="15.75" customHeight="1" s="9">
      <c r="A59" s="3" t="n">
        <v>1</v>
      </c>
      <c r="B59" s="3" t="inlineStr">
        <is>
          <t>六</t>
        </is>
      </c>
      <c r="C59" s="3" t="inlineStr">
        <is>
          <t>liù</t>
        </is>
      </c>
      <c r="D59" s="4" t="inlineStr">
        <is>
          <t>six</t>
        </is>
      </c>
      <c r="E59" s="3" t="inlineStr">
        <is>
          <t>六 liù (L+IU)</t>
        </is>
      </c>
      <c r="F59" s="3" t="inlineStr">
        <is>
          <t>4</t>
        </is>
      </c>
    </row>
    <row r="60" ht="15.75" customHeight="1" s="9">
      <c r="A60" s="3" t="n">
        <v>1</v>
      </c>
      <c r="B60" s="3" t="inlineStr">
        <is>
          <t>妈妈</t>
        </is>
      </c>
      <c r="C60" s="3" t="inlineStr">
        <is>
          <t>māma</t>
        </is>
      </c>
      <c r="D60" s="4" t="inlineStr">
        <is>
          <t>mom; mother</t>
        </is>
      </c>
      <c r="E60" s="3" t="inlineStr">
        <is>
          <t>妈 mā (M+A) · 妈 ma (M+A)</t>
        </is>
      </c>
      <c r="F60" s="3" t="inlineStr">
        <is>
          <t>1-5</t>
        </is>
      </c>
    </row>
    <row r="61" ht="15.75" customHeight="1" s="9">
      <c r="A61" s="3" t="n">
        <v>1</v>
      </c>
      <c r="B61" s="3" t="inlineStr">
        <is>
          <t>吗</t>
        </is>
      </c>
      <c r="C61" s="3" t="inlineStr">
        <is>
          <t>ma</t>
        </is>
      </c>
      <c r="D61" s="4" t="inlineStr">
        <is>
          <t>yes-no question particle</t>
        </is>
      </c>
      <c r="E61" s="3" t="inlineStr">
        <is>
          <t>吗 ma (M+A)</t>
        </is>
      </c>
      <c r="F61" s="3" t="inlineStr">
        <is>
          <t>5</t>
        </is>
      </c>
    </row>
    <row r="62" ht="15.75" customHeight="1" s="9">
      <c r="A62" s="3" t="n">
        <v>1</v>
      </c>
      <c r="B62" s="3" t="inlineStr">
        <is>
          <t>买</t>
        </is>
      </c>
      <c r="C62" s="3" t="inlineStr">
        <is>
          <t>mǎi</t>
        </is>
      </c>
      <c r="D62" s="4" t="inlineStr">
        <is>
          <t>buy</t>
        </is>
      </c>
      <c r="E62" s="3" t="inlineStr">
        <is>
          <t>买 mǎi (M+AI)</t>
        </is>
      </c>
      <c r="F62" s="3" t="inlineStr">
        <is>
          <t>3</t>
        </is>
      </c>
    </row>
    <row r="63" ht="15.75" customHeight="1" s="9">
      <c r="A63" s="3" t="n">
        <v>1</v>
      </c>
      <c r="B63" s="3" t="inlineStr">
        <is>
          <t>猫</t>
        </is>
      </c>
      <c r="C63" s="3" t="inlineStr">
        <is>
          <t>māo</t>
        </is>
      </c>
      <c r="D63" s="4" t="inlineStr">
        <is>
          <t>cat</t>
        </is>
      </c>
      <c r="E63" s="3" t="inlineStr">
        <is>
          <t>猫 māo (M+AO)</t>
        </is>
      </c>
      <c r="F63" s="3" t="inlineStr">
        <is>
          <t>1</t>
        </is>
      </c>
    </row>
    <row r="64" ht="15.75" customHeight="1" s="9">
      <c r="A64" s="3" t="n">
        <v>1</v>
      </c>
      <c r="B64" s="3" t="inlineStr">
        <is>
          <t>没关系</t>
        </is>
      </c>
      <c r="C64" s="3" t="inlineStr">
        <is>
          <t>méi guānxi</t>
        </is>
      </c>
      <c r="D64" s="4" t="inlineStr">
        <is>
          <t>it doesn't matter</t>
        </is>
      </c>
      <c r="E64" s="3" t="inlineStr">
        <is>
          <t>没 méi (M+EI) · 关 guān (G+UAN (14th, Jacob-specific)) · 系 xi (X+I)</t>
        </is>
      </c>
      <c r="F64" s="3" t="inlineStr">
        <is>
          <t>2-1-5</t>
        </is>
      </c>
    </row>
    <row r="65" ht="15.75" customHeight="1" s="9">
      <c r="A65" s="3" t="n">
        <v>1</v>
      </c>
      <c r="B65" s="3" t="inlineStr">
        <is>
          <t>没有</t>
        </is>
      </c>
      <c r="C65" s="3" t="inlineStr">
        <is>
          <t>méiyǒu</t>
        </is>
      </c>
      <c r="D65" s="4" t="inlineStr">
        <is>
          <t>not have; there is not</t>
        </is>
      </c>
      <c r="E65" s="3" t="inlineStr">
        <is>
          <t>没 méi (M+EI) · 有 yǒu (Y+OU)</t>
        </is>
      </c>
      <c r="F65" s="3" t="inlineStr">
        <is>
          <t>2-3</t>
        </is>
      </c>
    </row>
    <row r="66" ht="15.75" customHeight="1" s="9">
      <c r="A66" s="3" t="n">
        <v>1</v>
      </c>
      <c r="B66" s="3" t="inlineStr">
        <is>
          <t>米饭</t>
        </is>
      </c>
      <c r="C66" s="3" t="inlineStr">
        <is>
          <t>mǐfàn</t>
        </is>
      </c>
      <c r="D66" s="4" t="inlineStr">
        <is>
          <t>cooked rice</t>
        </is>
      </c>
      <c r="E66" s="3" t="inlineStr">
        <is>
          <t>米 mǐ (M+I) · 饭 fàn (F+AN)</t>
        </is>
      </c>
      <c r="F66" s="3" t="inlineStr">
        <is>
          <t>3-4</t>
        </is>
      </c>
    </row>
    <row r="67" ht="15.75" customHeight="1" s="9">
      <c r="A67" s="3" t="n">
        <v>1</v>
      </c>
      <c r="B67" s="3" t="inlineStr">
        <is>
          <t>明天</t>
        </is>
      </c>
      <c r="C67" s="3" t="inlineStr">
        <is>
          <t>míngtiān</t>
        </is>
      </c>
      <c r="D67" s="4" t="inlineStr">
        <is>
          <t>tomorrow</t>
        </is>
      </c>
      <c r="E67" s="3" t="inlineStr">
        <is>
          <t>明 míng (M+ING) · 天 tiān (T+IAN)</t>
        </is>
      </c>
      <c r="F67" s="3" t="inlineStr">
        <is>
          <t>2-1</t>
        </is>
      </c>
    </row>
    <row r="68" ht="15.75" customHeight="1" s="9">
      <c r="A68" s="3" t="n">
        <v>1</v>
      </c>
      <c r="B68" s="3" t="inlineStr">
        <is>
          <t>名字</t>
        </is>
      </c>
      <c r="C68" s="3" t="inlineStr">
        <is>
          <t>míngzi</t>
        </is>
      </c>
      <c r="D68" s="4" t="inlineStr">
        <is>
          <t>name</t>
        </is>
      </c>
      <c r="E68" s="3" t="inlineStr">
        <is>
          <t>名 míng (M+ING) · 字 zi (Z+Ø (no final))</t>
        </is>
      </c>
      <c r="F68" s="3" t="inlineStr">
        <is>
          <t>2-5</t>
        </is>
      </c>
    </row>
    <row r="69" ht="15.75" customHeight="1" s="9">
      <c r="A69" s="3" t="n">
        <v>1</v>
      </c>
      <c r="B69" s="3" t="inlineStr">
        <is>
          <t>哪</t>
        </is>
      </c>
      <c r="C69" s="3" t="inlineStr">
        <is>
          <t>nǎ</t>
        </is>
      </c>
      <c r="D69" s="4" t="inlineStr">
        <is>
          <t>which</t>
        </is>
      </c>
      <c r="E69" s="3" t="inlineStr">
        <is>
          <t>哪 nǎ (N+A)</t>
        </is>
      </c>
      <c r="F69" s="3" t="inlineStr">
        <is>
          <t>3</t>
        </is>
      </c>
    </row>
    <row r="70" ht="15.75" customHeight="1" s="9">
      <c r="A70" s="3" t="n">
        <v>1</v>
      </c>
      <c r="B70" s="3" t="inlineStr">
        <is>
          <t>哪儿</t>
        </is>
      </c>
      <c r="C70" s="3" t="inlineStr">
        <is>
          <t>nǎr</t>
        </is>
      </c>
      <c r="D70" s="4" t="inlineStr">
        <is>
          <t>where</t>
        </is>
      </c>
      <c r="E70" s="3" t="inlineStr">
        <is>
          <t>哪 nǎ (N+A)</t>
        </is>
      </c>
      <c r="F70" s="3" t="inlineStr">
        <is>
          <t>3</t>
        </is>
      </c>
    </row>
    <row r="71" ht="15.75" customHeight="1" s="9">
      <c r="A71" s="3" t="n">
        <v>1</v>
      </c>
      <c r="B71" s="3" t="inlineStr">
        <is>
          <t>那</t>
        </is>
      </c>
      <c r="C71" s="3" t="inlineStr">
        <is>
          <t>nà</t>
        </is>
      </c>
      <c r="D71" s="4" t="inlineStr">
        <is>
          <t>that</t>
        </is>
      </c>
      <c r="E71" s="3" t="inlineStr">
        <is>
          <t>那 nà (N+A)</t>
        </is>
      </c>
      <c r="F71" s="3" t="inlineStr">
        <is>
          <t>4</t>
        </is>
      </c>
    </row>
    <row r="72" ht="15.75" customHeight="1" s="9">
      <c r="A72" s="3" t="n">
        <v>1</v>
      </c>
      <c r="B72" s="3" t="inlineStr">
        <is>
          <t>呢</t>
        </is>
      </c>
      <c r="C72" s="3" t="inlineStr">
        <is>
          <t>ne</t>
        </is>
      </c>
      <c r="D72" s="4" t="inlineStr">
        <is>
          <t>follow-up question particle</t>
        </is>
      </c>
      <c r="E72" s="3" t="inlineStr">
        <is>
          <t>呢 ne (N+E)</t>
        </is>
      </c>
      <c r="F72" s="3" t="inlineStr">
        <is>
          <t>5</t>
        </is>
      </c>
    </row>
    <row r="73" ht="15.75" customHeight="1" s="9">
      <c r="A73" s="3" t="n">
        <v>1</v>
      </c>
      <c r="B73" s="3" t="inlineStr">
        <is>
          <t>能</t>
        </is>
      </c>
      <c r="C73" s="3" t="inlineStr">
        <is>
          <t>néng</t>
        </is>
      </c>
      <c r="D73" s="4" t="inlineStr">
        <is>
          <t>can; be able to</t>
        </is>
      </c>
      <c r="E73" s="3" t="inlineStr">
        <is>
          <t>能 néng (N+(E)NG)</t>
        </is>
      </c>
      <c r="F73" s="3" t="inlineStr">
        <is>
          <t>2</t>
        </is>
      </c>
    </row>
    <row r="74" ht="15.75" customHeight="1" s="9">
      <c r="A74" s="3" t="n">
        <v>1</v>
      </c>
      <c r="B74" s="3" t="inlineStr">
        <is>
          <t>你</t>
        </is>
      </c>
      <c r="C74" s="3" t="inlineStr">
        <is>
          <t>nǐ</t>
        </is>
      </c>
      <c r="D74" s="4" t="inlineStr">
        <is>
          <t>you</t>
        </is>
      </c>
      <c r="E74" s="3" t="inlineStr">
        <is>
          <t>你 nǐ (N+I)</t>
        </is>
      </c>
      <c r="F74" s="3" t="inlineStr">
        <is>
          <t>3</t>
        </is>
      </c>
    </row>
    <row r="75" ht="15.75" customHeight="1" s="9">
      <c r="A75" s="3" t="n">
        <v>1</v>
      </c>
      <c r="B75" s="3" t="inlineStr">
        <is>
          <t>年</t>
        </is>
      </c>
      <c r="C75" s="3" t="inlineStr">
        <is>
          <t>nián</t>
        </is>
      </c>
      <c r="D75" s="4" t="inlineStr">
        <is>
          <t>year</t>
        </is>
      </c>
      <c r="E75" s="3" t="inlineStr">
        <is>
          <t>年 nián (N+IAN)</t>
        </is>
      </c>
      <c r="F75" s="3" t="inlineStr">
        <is>
          <t>2</t>
        </is>
      </c>
    </row>
    <row r="76" ht="15.75" customHeight="1" s="9">
      <c r="A76" s="3" t="n">
        <v>1</v>
      </c>
      <c r="B76" s="3" t="inlineStr">
        <is>
          <t>女儿</t>
        </is>
      </c>
      <c r="C76" s="3" t="inlineStr">
        <is>
          <t>nǚ'ér</t>
        </is>
      </c>
      <c r="D76" s="4" t="inlineStr">
        <is>
          <t>daughter</t>
        </is>
      </c>
      <c r="E76" s="3" t="inlineStr">
        <is>
          <t>女 nǚ (N+Ü) · 儿 ér (Ø+ER)</t>
        </is>
      </c>
      <c r="F76" s="3" t="inlineStr">
        <is>
          <t>3-2</t>
        </is>
      </c>
    </row>
    <row r="77" ht="15.75" customHeight="1" s="9">
      <c r="A77" s="3" t="n">
        <v>1</v>
      </c>
      <c r="B77" s="3" t="inlineStr">
        <is>
          <t>朋友</t>
        </is>
      </c>
      <c r="C77" s="3" t="inlineStr">
        <is>
          <t>péngyou</t>
        </is>
      </c>
      <c r="D77" s="4" t="inlineStr">
        <is>
          <t>friend</t>
        </is>
      </c>
      <c r="E77" s="3" t="inlineStr">
        <is>
          <t>朋 péng (P+(E)NG) · 友 you (Y+OU)</t>
        </is>
      </c>
      <c r="F77" s="3" t="inlineStr">
        <is>
          <t>2-5</t>
        </is>
      </c>
    </row>
    <row r="78" ht="15.75" customHeight="1" s="9">
      <c r="A78" s="3" t="n">
        <v>1</v>
      </c>
      <c r="B78" s="3" t="inlineStr">
        <is>
          <t>漂亮</t>
        </is>
      </c>
      <c r="C78" s="3" t="inlineStr">
        <is>
          <t>piàoliang</t>
        </is>
      </c>
      <c r="D78" s="4" t="inlineStr">
        <is>
          <t>pretty; beautiful</t>
        </is>
      </c>
      <c r="E78" s="3" t="inlineStr">
        <is>
          <t>漂 piào (P+IAO) · 亮 liang (L+IANG)</t>
        </is>
      </c>
      <c r="F78" s="3" t="inlineStr">
        <is>
          <t>4-5</t>
        </is>
      </c>
    </row>
    <row r="79" ht="15.75" customHeight="1" s="9">
      <c r="A79" s="3" t="n">
        <v>1</v>
      </c>
      <c r="B79" s="3" t="inlineStr">
        <is>
          <t>苹果</t>
        </is>
      </c>
      <c r="C79" s="3" t="inlineStr">
        <is>
          <t>píngguǒ</t>
        </is>
      </c>
      <c r="D79" s="4" t="inlineStr">
        <is>
          <t>apple</t>
        </is>
      </c>
      <c r="E79" s="3" t="inlineStr">
        <is>
          <t>苹 píng (P+ING) · 果 guǒ (G+UO)</t>
        </is>
      </c>
      <c r="F79" s="3" t="inlineStr">
        <is>
          <t>2-3</t>
        </is>
      </c>
    </row>
    <row r="80" ht="15.75" customHeight="1" s="9">
      <c r="A80" s="3" t="n">
        <v>1</v>
      </c>
      <c r="B80" s="3" t="inlineStr">
        <is>
          <t>七</t>
        </is>
      </c>
      <c r="C80" s="3" t="inlineStr">
        <is>
          <t>qī</t>
        </is>
      </c>
      <c r="D80" s="4" t="inlineStr">
        <is>
          <t>seven</t>
        </is>
      </c>
      <c r="E80" s="3" t="inlineStr">
        <is>
          <t>七 qī (Q+I)</t>
        </is>
      </c>
      <c r="F80" s="3" t="inlineStr">
        <is>
          <t>1</t>
        </is>
      </c>
    </row>
    <row r="81" ht="15.75" customHeight="1" s="9">
      <c r="A81" s="3" t="n">
        <v>1</v>
      </c>
      <c r="B81" s="3" t="inlineStr">
        <is>
          <t>前面</t>
        </is>
      </c>
      <c r="C81" s="3" t="inlineStr">
        <is>
          <t>qiánmiàn</t>
        </is>
      </c>
      <c r="D81" s="4" t="inlineStr">
        <is>
          <t>front; in front</t>
        </is>
      </c>
      <c r="E81" s="3" t="inlineStr">
        <is>
          <t>前 qián (Q+IAN) · 面 miàn (M+IAN)</t>
        </is>
      </c>
      <c r="F81" s="3" t="inlineStr">
        <is>
          <t>2-4</t>
        </is>
      </c>
    </row>
    <row r="82" ht="15.75" customHeight="1" s="9">
      <c r="A82" s="3" t="n">
        <v>1</v>
      </c>
      <c r="B82" s="3" t="inlineStr">
        <is>
          <t>钱</t>
        </is>
      </c>
      <c r="C82" s="3" t="inlineStr">
        <is>
          <t>qián</t>
        </is>
      </c>
      <c r="D82" s="4" t="inlineStr">
        <is>
          <t>money</t>
        </is>
      </c>
      <c r="E82" s="3" t="inlineStr">
        <is>
          <t>钱 qián (Q+IAN)</t>
        </is>
      </c>
      <c r="F82" s="3" t="inlineStr">
        <is>
          <t>2</t>
        </is>
      </c>
    </row>
    <row r="83" ht="15.75" customHeight="1" s="9">
      <c r="A83" s="3" t="n">
        <v>1</v>
      </c>
      <c r="B83" s="3" t="inlineStr">
        <is>
          <t>请</t>
        </is>
      </c>
      <c r="C83" s="3" t="inlineStr">
        <is>
          <t>qǐng</t>
        </is>
      </c>
      <c r="D83" s="4" t="inlineStr">
        <is>
          <t>please; invite</t>
        </is>
      </c>
      <c r="E83" s="3" t="inlineStr">
        <is>
          <t>请 qǐng (Q+ING)</t>
        </is>
      </c>
      <c r="F83" s="3" t="inlineStr">
        <is>
          <t>3</t>
        </is>
      </c>
    </row>
    <row r="84" ht="15.75" customHeight="1" s="9">
      <c r="A84" s="3" t="n">
        <v>1</v>
      </c>
      <c r="B84" s="3" t="inlineStr">
        <is>
          <t>去</t>
        </is>
      </c>
      <c r="C84" s="3" t="inlineStr">
        <is>
          <t>qù</t>
        </is>
      </c>
      <c r="D84" s="4" t="inlineStr">
        <is>
          <t>go</t>
        </is>
      </c>
      <c r="E84" s="3" t="inlineStr">
        <is>
          <t>去 qù (Q+U)</t>
        </is>
      </c>
      <c r="F84" s="3" t="inlineStr">
        <is>
          <t>4</t>
        </is>
      </c>
    </row>
    <row r="85" ht="15.75" customHeight="1" s="9">
      <c r="A85" s="3" t="n">
        <v>1</v>
      </c>
      <c r="B85" s="3" t="inlineStr">
        <is>
          <t>热</t>
        </is>
      </c>
      <c r="C85" s="3" t="inlineStr">
        <is>
          <t>rè</t>
        </is>
      </c>
      <c r="D85" s="4" t="inlineStr">
        <is>
          <t>hot</t>
        </is>
      </c>
      <c r="E85" s="3" t="inlineStr">
        <is>
          <t>热 rè (R+E)</t>
        </is>
      </c>
      <c r="F85" s="3" t="inlineStr">
        <is>
          <t>4</t>
        </is>
      </c>
    </row>
    <row r="86" ht="15.75" customHeight="1" s="9">
      <c r="A86" s="3" t="n">
        <v>1</v>
      </c>
      <c r="B86" s="3" t="inlineStr">
        <is>
          <t>人</t>
        </is>
      </c>
      <c r="C86" s="3" t="inlineStr">
        <is>
          <t>rén</t>
        </is>
      </c>
      <c r="D86" s="4" t="inlineStr">
        <is>
          <t>person; people</t>
        </is>
      </c>
      <c r="E86" s="3" t="inlineStr">
        <is>
          <t>人 rén (R+(E)N)</t>
        </is>
      </c>
      <c r="F86" s="3" t="inlineStr">
        <is>
          <t>2</t>
        </is>
      </c>
    </row>
    <row r="87" ht="15.75" customHeight="1" s="9">
      <c r="A87" s="3" t="n">
        <v>1</v>
      </c>
      <c r="B87" s="3" t="inlineStr">
        <is>
          <t>认识</t>
        </is>
      </c>
      <c r="C87" s="3" t="inlineStr">
        <is>
          <t>rènshi</t>
        </is>
      </c>
      <c r="D87" s="4" t="inlineStr">
        <is>
          <t>know; recognize</t>
        </is>
      </c>
      <c r="E87" s="3" t="inlineStr">
        <is>
          <t>认 rèn (R+(E)N) · 识 shi (SH+Ø (no final))</t>
        </is>
      </c>
      <c r="F87" s="3" t="inlineStr">
        <is>
          <t>4-5</t>
        </is>
      </c>
    </row>
    <row r="88" ht="15.75" customHeight="1" s="9">
      <c r="A88" s="3" t="n">
        <v>1</v>
      </c>
      <c r="B88" s="3" t="inlineStr">
        <is>
          <t>三</t>
        </is>
      </c>
      <c r="C88" s="3" t="inlineStr">
        <is>
          <t>sān</t>
        </is>
      </c>
      <c r="D88" s="4" t="inlineStr">
        <is>
          <t>three</t>
        </is>
      </c>
      <c r="E88" s="3" t="inlineStr">
        <is>
          <t>三 sān (S+AN)</t>
        </is>
      </c>
      <c r="F88" s="3" t="inlineStr">
        <is>
          <t>1</t>
        </is>
      </c>
    </row>
    <row r="89" ht="15.75" customHeight="1" s="9">
      <c r="A89" s="3" t="n">
        <v>1</v>
      </c>
      <c r="B89" s="3" t="inlineStr">
        <is>
          <t>商店</t>
        </is>
      </c>
      <c r="C89" s="3" t="inlineStr">
        <is>
          <t>shāngdiàn</t>
        </is>
      </c>
      <c r="D89" s="4" t="inlineStr">
        <is>
          <t>shop; store</t>
        </is>
      </c>
      <c r="E89" s="3" t="inlineStr">
        <is>
          <t>商 shāng (SH+ANG) · 店 diàn (D+IAN)</t>
        </is>
      </c>
      <c r="F89" s="3" t="inlineStr">
        <is>
          <t>1-4</t>
        </is>
      </c>
    </row>
    <row r="90" ht="15.75" customHeight="1" s="9">
      <c r="A90" s="3" t="n">
        <v>1</v>
      </c>
      <c r="B90" s="3" t="inlineStr">
        <is>
          <t>上</t>
        </is>
      </c>
      <c r="C90" s="3" t="inlineStr">
        <is>
          <t>shàng</t>
        </is>
      </c>
      <c r="D90" s="4" t="inlineStr">
        <is>
          <t>up; on; previous</t>
        </is>
      </c>
      <c r="E90" s="3" t="inlineStr">
        <is>
          <t>上 shàng (SH+ANG)</t>
        </is>
      </c>
      <c r="F90" s="3" t="inlineStr">
        <is>
          <t>4</t>
        </is>
      </c>
    </row>
    <row r="91" ht="15.75" customHeight="1" s="9">
      <c r="A91" s="3" t="n">
        <v>1</v>
      </c>
      <c r="B91" s="3" t="inlineStr">
        <is>
          <t>上午</t>
        </is>
      </c>
      <c r="C91" s="3" t="inlineStr">
        <is>
          <t>shàngwǔ</t>
        </is>
      </c>
      <c r="D91" s="4" t="inlineStr">
        <is>
          <t>morning</t>
        </is>
      </c>
      <c r="E91" s="3" t="inlineStr">
        <is>
          <t>上 shàng (SH+ANG) · 午 wǔ (W+U)</t>
        </is>
      </c>
      <c r="F91" s="3" t="inlineStr">
        <is>
          <t>4-3</t>
        </is>
      </c>
    </row>
    <row r="92" ht="15.75" customHeight="1" s="9">
      <c r="A92" s="3" t="n">
        <v>1</v>
      </c>
      <c r="B92" s="3" t="inlineStr">
        <is>
          <t>少</t>
        </is>
      </c>
      <c r="C92" s="3" t="inlineStr">
        <is>
          <t>shǎo</t>
        </is>
      </c>
      <c r="D92" s="4" t="inlineStr">
        <is>
          <t>few; little</t>
        </is>
      </c>
      <c r="E92" s="3" t="inlineStr">
        <is>
          <t>少 shǎo (SH+AO)</t>
        </is>
      </c>
      <c r="F92" s="3" t="inlineStr">
        <is>
          <t>3</t>
        </is>
      </c>
    </row>
    <row r="93" ht="15.75" customHeight="1" s="9">
      <c r="A93" s="3" t="n">
        <v>1</v>
      </c>
      <c r="B93" s="3" t="inlineStr">
        <is>
          <t>谁</t>
        </is>
      </c>
      <c r="C93" s="3" t="inlineStr">
        <is>
          <t>shéi</t>
        </is>
      </c>
      <c r="D93" s="4" t="inlineStr">
        <is>
          <t>who</t>
        </is>
      </c>
      <c r="E93" s="3" t="inlineStr">
        <is>
          <t>谁 shéi (SH+EI)</t>
        </is>
      </c>
      <c r="F93" s="3" t="inlineStr">
        <is>
          <t>2</t>
        </is>
      </c>
    </row>
    <row r="94" ht="15.75" customHeight="1" s="9">
      <c r="A94" s="3" t="n">
        <v>1</v>
      </c>
      <c r="B94" s="3" t="inlineStr">
        <is>
          <t>什么</t>
        </is>
      </c>
      <c r="C94" s="3" t="inlineStr">
        <is>
          <t>shénme</t>
        </is>
      </c>
      <c r="D94" s="4" t="inlineStr">
        <is>
          <t>what</t>
        </is>
      </c>
      <c r="E94" s="3" t="inlineStr">
        <is>
          <t>什 shén (SH+(E)N) · 么 me (M+E)</t>
        </is>
      </c>
      <c r="F94" s="3" t="inlineStr">
        <is>
          <t>2-5</t>
        </is>
      </c>
    </row>
    <row r="95" ht="15.75" customHeight="1" s="9">
      <c r="A95" s="3" t="n">
        <v>1</v>
      </c>
      <c r="B95" s="3" t="inlineStr">
        <is>
          <t>十</t>
        </is>
      </c>
      <c r="C95" s="3" t="inlineStr">
        <is>
          <t>shí</t>
        </is>
      </c>
      <c r="D95" s="4" t="inlineStr">
        <is>
          <t>ten</t>
        </is>
      </c>
      <c r="E95" s="3" t="inlineStr">
        <is>
          <t>十 shí (SH+Ø (no final))</t>
        </is>
      </c>
      <c r="F95" s="3" t="inlineStr">
        <is>
          <t>2</t>
        </is>
      </c>
    </row>
    <row r="96" ht="15.75" customHeight="1" s="9">
      <c r="A96" s="3" t="n">
        <v>1</v>
      </c>
      <c r="B96" s="3" t="inlineStr">
        <is>
          <t>时候</t>
        </is>
      </c>
      <c r="C96" s="3" t="inlineStr">
        <is>
          <t>shíhou</t>
        </is>
      </c>
      <c r="D96" s="4" t="inlineStr">
        <is>
          <t>time; moment</t>
        </is>
      </c>
      <c r="E96" s="3" t="inlineStr">
        <is>
          <t>时 shí (SH+Ø (no final)) · 候 hou (H+OU)</t>
        </is>
      </c>
      <c r="F96" s="3" t="inlineStr">
        <is>
          <t>2-5</t>
        </is>
      </c>
    </row>
    <row r="97" ht="15.75" customHeight="1" s="9">
      <c r="A97" s="3" t="n">
        <v>1</v>
      </c>
      <c r="B97" s="3" t="inlineStr">
        <is>
          <t>是</t>
        </is>
      </c>
      <c r="C97" s="3" t="inlineStr">
        <is>
          <t>shì</t>
        </is>
      </c>
      <c r="D97" s="4" t="inlineStr">
        <is>
          <t>be; is; are</t>
        </is>
      </c>
      <c r="E97" s="3" t="inlineStr">
        <is>
          <t>是 shì (SH+Ø (no final))</t>
        </is>
      </c>
      <c r="F97" s="3" t="inlineStr">
        <is>
          <t>4</t>
        </is>
      </c>
    </row>
    <row r="98" ht="15.75" customHeight="1" s="9">
      <c r="A98" s="3" t="n">
        <v>1</v>
      </c>
      <c r="B98" s="3" t="inlineStr">
        <is>
          <t>书</t>
        </is>
      </c>
      <c r="C98" s="3" t="inlineStr">
        <is>
          <t>shū</t>
        </is>
      </c>
      <c r="D98" s="4" t="inlineStr">
        <is>
          <t>book</t>
        </is>
      </c>
      <c r="E98" s="3" t="inlineStr">
        <is>
          <t>书 shū (SH+U)</t>
        </is>
      </c>
      <c r="F98" s="3" t="inlineStr">
        <is>
          <t>1</t>
        </is>
      </c>
    </row>
    <row r="99" ht="15.75" customHeight="1" s="9">
      <c r="A99" s="3" t="n">
        <v>1</v>
      </c>
      <c r="B99" s="3" t="inlineStr">
        <is>
          <t>水</t>
        </is>
      </c>
      <c r="C99" s="3" t="inlineStr">
        <is>
          <t>shuǐ</t>
        </is>
      </c>
      <c r="D99" s="4" t="inlineStr">
        <is>
          <t>water</t>
        </is>
      </c>
      <c r="E99" s="3" t="inlineStr">
        <is>
          <t>水 shuǐ (SH+UI)</t>
        </is>
      </c>
      <c r="F99" s="3" t="inlineStr">
        <is>
          <t>3</t>
        </is>
      </c>
    </row>
    <row r="100" ht="15.75" customHeight="1" s="9">
      <c r="A100" s="3" t="n">
        <v>1</v>
      </c>
      <c r="B100" s="3" t="inlineStr">
        <is>
          <t>水果</t>
        </is>
      </c>
      <c r="C100" s="3" t="inlineStr">
        <is>
          <t>shuǐguǒ</t>
        </is>
      </c>
      <c r="D100" s="4" t="inlineStr">
        <is>
          <t>fruit</t>
        </is>
      </c>
      <c r="E100" s="3" t="inlineStr">
        <is>
          <t>水 shuǐ (SH+UI) · 果 guǒ (G+UO)</t>
        </is>
      </c>
      <c r="F100" s="3" t="inlineStr">
        <is>
          <t>3-3</t>
        </is>
      </c>
    </row>
    <row r="101" ht="15.75" customHeight="1" s="9">
      <c r="A101" s="3" t="n">
        <v>1</v>
      </c>
      <c r="B101" s="3" t="inlineStr">
        <is>
          <t>睡觉</t>
        </is>
      </c>
      <c r="C101" s="3" t="inlineStr">
        <is>
          <t>shuìjiào</t>
        </is>
      </c>
      <c r="D101" s="4" t="inlineStr">
        <is>
          <t>sleep</t>
        </is>
      </c>
      <c r="E101" s="3" t="inlineStr">
        <is>
          <t>睡 shuì (SH+UI) · 觉 jiào (J+IAO)</t>
        </is>
      </c>
      <c r="F101" s="3" t="inlineStr">
        <is>
          <t>4-4</t>
        </is>
      </c>
    </row>
    <row r="102" ht="15.75" customHeight="1" s="9">
      <c r="A102" s="3" t="n">
        <v>1</v>
      </c>
      <c r="B102" s="3" t="inlineStr">
        <is>
          <t>说</t>
        </is>
      </c>
      <c r="C102" s="3" t="inlineStr">
        <is>
          <t>shuō</t>
        </is>
      </c>
      <c r="D102" s="4" t="inlineStr">
        <is>
          <t>speak; say</t>
        </is>
      </c>
      <c r="E102" s="3" t="inlineStr">
        <is>
          <t>说 shuō (SH+UO)</t>
        </is>
      </c>
      <c r="F102" s="3" t="inlineStr">
        <is>
          <t>1</t>
        </is>
      </c>
    </row>
    <row r="103" ht="15.75" customHeight="1" s="9">
      <c r="A103" s="3" t="n">
        <v>1</v>
      </c>
      <c r="B103" s="3" t="inlineStr">
        <is>
          <t>四</t>
        </is>
      </c>
      <c r="C103" s="3" t="inlineStr">
        <is>
          <t>sì</t>
        </is>
      </c>
      <c r="D103" s="4" t="inlineStr">
        <is>
          <t>four</t>
        </is>
      </c>
      <c r="E103" s="3" t="inlineStr">
        <is>
          <t>四 sì (S+Ø (no final))</t>
        </is>
      </c>
      <c r="F103" s="3" t="inlineStr">
        <is>
          <t>4</t>
        </is>
      </c>
    </row>
    <row r="104" ht="15.75" customHeight="1" s="9">
      <c r="A104" s="3" t="n">
        <v>1</v>
      </c>
      <c r="B104" s="3" t="inlineStr">
        <is>
          <t>岁</t>
        </is>
      </c>
      <c r="C104" s="3" t="inlineStr">
        <is>
          <t>suì</t>
        </is>
      </c>
      <c r="D104" s="4" t="inlineStr">
        <is>
          <t>years old</t>
        </is>
      </c>
      <c r="E104" s="3" t="inlineStr">
        <is>
          <t>岁 suì (S+UI)</t>
        </is>
      </c>
      <c r="F104" s="3" t="inlineStr">
        <is>
          <t>4</t>
        </is>
      </c>
    </row>
    <row r="105" ht="15.75" customHeight="1" s="9">
      <c r="A105" s="3" t="n">
        <v>1</v>
      </c>
      <c r="B105" s="3" t="inlineStr">
        <is>
          <t>他</t>
        </is>
      </c>
      <c r="C105" s="3" t="inlineStr">
        <is>
          <t>tā</t>
        </is>
      </c>
      <c r="D105" s="4" t="inlineStr">
        <is>
          <t>he; him</t>
        </is>
      </c>
      <c r="E105" s="3" t="inlineStr">
        <is>
          <t>他 tā (T+A)</t>
        </is>
      </c>
      <c r="F105" s="3" t="inlineStr">
        <is>
          <t>1</t>
        </is>
      </c>
    </row>
    <row r="106" ht="15.75" customHeight="1" s="9">
      <c r="A106" s="3" t="n">
        <v>1</v>
      </c>
      <c r="B106" s="3" t="inlineStr">
        <is>
          <t>她</t>
        </is>
      </c>
      <c r="C106" s="3" t="inlineStr">
        <is>
          <t>tā</t>
        </is>
      </c>
      <c r="D106" s="4" t="inlineStr">
        <is>
          <t>she; her</t>
        </is>
      </c>
      <c r="E106" s="3" t="inlineStr">
        <is>
          <t>她 tā (T+A)</t>
        </is>
      </c>
      <c r="F106" s="3" t="inlineStr">
        <is>
          <t>1</t>
        </is>
      </c>
    </row>
    <row r="107" ht="15.75" customHeight="1" s="9">
      <c r="A107" s="3" t="n">
        <v>1</v>
      </c>
      <c r="B107" s="3" t="inlineStr">
        <is>
          <t>太</t>
        </is>
      </c>
      <c r="C107" s="3" t="inlineStr">
        <is>
          <t>tài</t>
        </is>
      </c>
      <c r="D107" s="4" t="inlineStr">
        <is>
          <t>too; very</t>
        </is>
      </c>
      <c r="E107" s="3" t="inlineStr">
        <is>
          <t>太 tài (T+AI)</t>
        </is>
      </c>
      <c r="F107" s="3" t="inlineStr">
        <is>
          <t>4</t>
        </is>
      </c>
    </row>
    <row r="108" ht="15.75" customHeight="1" s="9">
      <c r="A108" s="3" t="n">
        <v>1</v>
      </c>
      <c r="B108" s="3" t="inlineStr">
        <is>
          <t>天气</t>
        </is>
      </c>
      <c r="C108" s="3" t="inlineStr">
        <is>
          <t>tiānqì</t>
        </is>
      </c>
      <c r="D108" s="4" t="inlineStr">
        <is>
          <t>weather</t>
        </is>
      </c>
      <c r="E108" s="3" t="inlineStr">
        <is>
          <t>天 tiān (T+IAN) · 气 qì (Q+I)</t>
        </is>
      </c>
      <c r="F108" s="3" t="inlineStr">
        <is>
          <t>1-4</t>
        </is>
      </c>
    </row>
    <row r="109" ht="15.75" customHeight="1" s="9">
      <c r="A109" s="3" t="n">
        <v>1</v>
      </c>
      <c r="B109" s="3" t="inlineStr">
        <is>
          <t>听</t>
        </is>
      </c>
      <c r="C109" s="3" t="inlineStr">
        <is>
          <t>tīng</t>
        </is>
      </c>
      <c r="D109" s="4" t="inlineStr">
        <is>
          <t>listen; hear</t>
        </is>
      </c>
      <c r="E109" s="3" t="inlineStr">
        <is>
          <t>听 tīng (T+ING)</t>
        </is>
      </c>
      <c r="F109" s="3" t="inlineStr">
        <is>
          <t>1</t>
        </is>
      </c>
    </row>
    <row r="110" ht="15.75" customHeight="1" s="9">
      <c r="A110" s="3" t="n">
        <v>1</v>
      </c>
      <c r="B110" s="3" t="inlineStr">
        <is>
          <t>同学</t>
        </is>
      </c>
      <c r="C110" s="3" t="inlineStr">
        <is>
          <t>tóngxué</t>
        </is>
      </c>
      <c r="D110" s="4" t="inlineStr">
        <is>
          <t>classmate</t>
        </is>
      </c>
      <c r="E110" s="3" t="inlineStr">
        <is>
          <t>同 tóng (T+ONG) · 学 xué (X+UE)</t>
        </is>
      </c>
      <c r="F110" s="3" t="inlineStr">
        <is>
          <t>2-2</t>
        </is>
      </c>
    </row>
    <row r="111" ht="15.75" customHeight="1" s="9">
      <c r="A111" s="3" t="n">
        <v>1</v>
      </c>
      <c r="B111" s="3" t="inlineStr">
        <is>
          <t>喂</t>
        </is>
      </c>
      <c r="C111" s="3" t="inlineStr">
        <is>
          <t>wéi</t>
        </is>
      </c>
      <c r="D111" s="4" t="inlineStr">
        <is>
          <t>hello on the phone</t>
        </is>
      </c>
      <c r="E111" s="3" t="inlineStr">
        <is>
          <t>喂 wéi (W+EI)</t>
        </is>
      </c>
      <c r="F111" s="3" t="inlineStr">
        <is>
          <t>2</t>
        </is>
      </c>
    </row>
    <row r="112" ht="15.75" customHeight="1" s="9">
      <c r="A112" s="3" t="n">
        <v>1</v>
      </c>
      <c r="B112" s="3" t="inlineStr">
        <is>
          <t>我</t>
        </is>
      </c>
      <c r="C112" s="3" t="inlineStr">
        <is>
          <t>wǒ</t>
        </is>
      </c>
      <c r="D112" s="4" t="inlineStr">
        <is>
          <t>I; me</t>
        </is>
      </c>
      <c r="E112" s="3" t="inlineStr">
        <is>
          <t>我 wǒ (W+O)</t>
        </is>
      </c>
      <c r="F112" s="3" t="inlineStr">
        <is>
          <t>3</t>
        </is>
      </c>
    </row>
    <row r="113" ht="15.75" customHeight="1" s="9">
      <c r="A113" s="3" t="n">
        <v>1</v>
      </c>
      <c r="B113" s="3" t="inlineStr">
        <is>
          <t>我们</t>
        </is>
      </c>
      <c r="C113" s="3" t="inlineStr">
        <is>
          <t>wǒmen</t>
        </is>
      </c>
      <c r="D113" s="4" t="inlineStr">
        <is>
          <t>we; us</t>
        </is>
      </c>
      <c r="E113" s="3" t="inlineStr">
        <is>
          <t>我 wǒ (W+O) · 们 men (M+(E)N)</t>
        </is>
      </c>
      <c r="F113" s="3" t="inlineStr">
        <is>
          <t>3-5</t>
        </is>
      </c>
    </row>
    <row r="114" ht="15.75" customHeight="1" s="9">
      <c r="A114" s="3" t="n">
        <v>1</v>
      </c>
      <c r="B114" s="3" t="inlineStr">
        <is>
          <t>五</t>
        </is>
      </c>
      <c r="C114" s="3" t="inlineStr">
        <is>
          <t>wǔ</t>
        </is>
      </c>
      <c r="D114" s="4" t="inlineStr">
        <is>
          <t>five</t>
        </is>
      </c>
      <c r="E114" s="3" t="inlineStr">
        <is>
          <t>五 wǔ (W+U)</t>
        </is>
      </c>
      <c r="F114" s="3" t="inlineStr">
        <is>
          <t>3</t>
        </is>
      </c>
    </row>
    <row r="115" ht="15.75" customHeight="1" s="9">
      <c r="A115" s="3" t="n">
        <v>1</v>
      </c>
      <c r="B115" s="3" t="inlineStr">
        <is>
          <t>喜欢</t>
        </is>
      </c>
      <c r="C115" s="3" t="inlineStr">
        <is>
          <t>xǐhuan</t>
        </is>
      </c>
      <c r="D115" s="4" t="inlineStr">
        <is>
          <t>like</t>
        </is>
      </c>
      <c r="E115" s="3" t="inlineStr">
        <is>
          <t>喜 xǐ (X+I) · 欢 huan (H+UAN (14th, Jacob-specific))</t>
        </is>
      </c>
      <c r="F115" s="3" t="inlineStr">
        <is>
          <t>3-5</t>
        </is>
      </c>
    </row>
    <row r="116" ht="15.75" customHeight="1" s="9">
      <c r="A116" s="3" t="n">
        <v>1</v>
      </c>
      <c r="B116" s="3" t="inlineStr">
        <is>
          <t>下</t>
        </is>
      </c>
      <c r="C116" s="3" t="inlineStr">
        <is>
          <t>xià</t>
        </is>
      </c>
      <c r="D116" s="4" t="inlineStr">
        <is>
          <t>down; under; next</t>
        </is>
      </c>
      <c r="E116" s="3" t="inlineStr">
        <is>
          <t>下 xià (X+IA)</t>
        </is>
      </c>
      <c r="F116" s="3" t="inlineStr">
        <is>
          <t>4</t>
        </is>
      </c>
    </row>
    <row r="117" ht="15.75" customHeight="1" s="9">
      <c r="A117" s="3" t="n">
        <v>1</v>
      </c>
      <c r="B117" s="3" t="inlineStr">
        <is>
          <t>下午</t>
        </is>
      </c>
      <c r="C117" s="3" t="inlineStr">
        <is>
          <t>xiàwǔ</t>
        </is>
      </c>
      <c r="D117" s="4" t="inlineStr">
        <is>
          <t>afternoon</t>
        </is>
      </c>
      <c r="E117" s="3" t="inlineStr">
        <is>
          <t>下 xià (X+IA) · 午 wǔ (W+U)</t>
        </is>
      </c>
      <c r="F117" s="3" t="inlineStr">
        <is>
          <t>4-3</t>
        </is>
      </c>
    </row>
    <row r="118" ht="15.75" customHeight="1" s="9">
      <c r="A118" s="3" t="n">
        <v>1</v>
      </c>
      <c r="B118" s="3" t="inlineStr">
        <is>
          <t>下雨</t>
        </is>
      </c>
      <c r="C118" s="3" t="inlineStr">
        <is>
          <t>xiàyǔ</t>
        </is>
      </c>
      <c r="D118" s="4" t="inlineStr">
        <is>
          <t>rain</t>
        </is>
      </c>
      <c r="E118" s="3" t="inlineStr">
        <is>
          <t>下 xià (X+IA) · 雨 yǔ (Y+U)</t>
        </is>
      </c>
      <c r="F118" s="3" t="inlineStr">
        <is>
          <t>4-3</t>
        </is>
      </c>
    </row>
    <row r="119" ht="15.75" customHeight="1" s="9">
      <c r="A119" s="3" t="n">
        <v>1</v>
      </c>
      <c r="B119" s="3" t="inlineStr">
        <is>
          <t>先生</t>
        </is>
      </c>
      <c r="C119" s="3" t="inlineStr">
        <is>
          <t>xiānsheng</t>
        </is>
      </c>
      <c r="D119" s="4" t="inlineStr">
        <is>
          <t>Mr.; husband</t>
        </is>
      </c>
      <c r="E119" s="3" t="inlineStr">
        <is>
          <t>先 xiān (X+IAN) · 生 sheng (SH+(E)NG)</t>
        </is>
      </c>
      <c r="F119" s="3" t="inlineStr">
        <is>
          <t>1-5</t>
        </is>
      </c>
    </row>
    <row r="120" ht="15.75" customHeight="1" s="9">
      <c r="A120" s="3" t="n">
        <v>1</v>
      </c>
      <c r="B120" s="3" t="inlineStr">
        <is>
          <t>现在</t>
        </is>
      </c>
      <c r="C120" s="3" t="inlineStr">
        <is>
          <t>xiànzài</t>
        </is>
      </c>
      <c r="D120" s="4" t="inlineStr">
        <is>
          <t>now</t>
        </is>
      </c>
      <c r="E120" s="3" t="inlineStr">
        <is>
          <t>现 xiàn (X+IAN) · 在 zài (Z+AI)</t>
        </is>
      </c>
      <c r="F120" s="3" t="inlineStr">
        <is>
          <t>4-4</t>
        </is>
      </c>
    </row>
    <row r="121" ht="15.75" customHeight="1" s="9">
      <c r="A121" s="3" t="n">
        <v>1</v>
      </c>
      <c r="B121" s="3" t="inlineStr">
        <is>
          <t>想</t>
        </is>
      </c>
      <c r="C121" s="3" t="inlineStr">
        <is>
          <t>xiǎng</t>
        </is>
      </c>
      <c r="D121" s="4" t="inlineStr">
        <is>
          <t>want; think</t>
        </is>
      </c>
      <c r="E121" s="3" t="inlineStr">
        <is>
          <t>想 xiǎng (X+IANG)</t>
        </is>
      </c>
      <c r="F121" s="3" t="inlineStr">
        <is>
          <t>3</t>
        </is>
      </c>
    </row>
    <row r="122" ht="15.75" customHeight="1" s="9">
      <c r="A122" s="3" t="n">
        <v>1</v>
      </c>
      <c r="B122" s="3" t="inlineStr">
        <is>
          <t>小</t>
        </is>
      </c>
      <c r="C122" s="3" t="inlineStr">
        <is>
          <t>xiǎo</t>
        </is>
      </c>
      <c r="D122" s="4" t="inlineStr">
        <is>
          <t>small; little</t>
        </is>
      </c>
      <c r="E122" s="3" t="inlineStr">
        <is>
          <t>小 xiǎo (X+IAO)</t>
        </is>
      </c>
      <c r="F122" s="3" t="inlineStr">
        <is>
          <t>3</t>
        </is>
      </c>
    </row>
    <row r="123" ht="15.75" customHeight="1" s="9">
      <c r="A123" s="3" t="n">
        <v>1</v>
      </c>
      <c r="B123" s="3" t="inlineStr">
        <is>
          <t>小姐</t>
        </is>
      </c>
      <c r="C123" s="3" t="inlineStr">
        <is>
          <t>xiǎojie</t>
        </is>
      </c>
      <c r="D123" s="4" t="inlineStr">
        <is>
          <t>Miss; young lady</t>
        </is>
      </c>
      <c r="E123" s="3" t="inlineStr">
        <is>
          <t>小 xiǎo (X+IAO) · 姐 jie (J+IE)</t>
        </is>
      </c>
      <c r="F123" s="3" t="inlineStr">
        <is>
          <t>3-5</t>
        </is>
      </c>
    </row>
    <row r="124" ht="15.75" customHeight="1" s="9">
      <c r="A124" s="3" t="n">
        <v>1</v>
      </c>
      <c r="B124" s="3" t="inlineStr">
        <is>
          <t>些</t>
        </is>
      </c>
      <c r="C124" s="3" t="inlineStr">
        <is>
          <t>xiē</t>
        </is>
      </c>
      <c r="D124" s="4" t="inlineStr">
        <is>
          <t>some</t>
        </is>
      </c>
      <c r="E124" s="3" t="inlineStr">
        <is>
          <t>些 xiē (X+IE)</t>
        </is>
      </c>
      <c r="F124" s="3" t="inlineStr">
        <is>
          <t>1</t>
        </is>
      </c>
    </row>
    <row r="125" ht="15.75" customHeight="1" s="9">
      <c r="A125" s="3" t="n">
        <v>1</v>
      </c>
      <c r="B125" s="3" t="inlineStr">
        <is>
          <t>写</t>
        </is>
      </c>
      <c r="C125" s="3" t="inlineStr">
        <is>
          <t>xiě</t>
        </is>
      </c>
      <c r="D125" s="4" t="inlineStr">
        <is>
          <t>write</t>
        </is>
      </c>
      <c r="E125" s="3" t="inlineStr">
        <is>
          <t>写 xiě (X+IE)</t>
        </is>
      </c>
      <c r="F125" s="3" t="inlineStr">
        <is>
          <t>3</t>
        </is>
      </c>
    </row>
    <row r="126" ht="15.75" customHeight="1" s="9">
      <c r="A126" s="3" t="n">
        <v>1</v>
      </c>
      <c r="B126" s="3" t="inlineStr">
        <is>
          <t>谢谢</t>
        </is>
      </c>
      <c r="C126" s="3" t="inlineStr">
        <is>
          <t>xièxie</t>
        </is>
      </c>
      <c r="D126" s="4" t="inlineStr">
        <is>
          <t>thanks</t>
        </is>
      </c>
      <c r="E126" s="3" t="inlineStr">
        <is>
          <t>谢 xiè (X+IE) · 谢 xie (X+IE)</t>
        </is>
      </c>
      <c r="F126" s="3" t="inlineStr">
        <is>
          <t>4-5</t>
        </is>
      </c>
    </row>
    <row r="127" ht="15.75" customHeight="1" s="9">
      <c r="A127" s="3" t="n">
        <v>1</v>
      </c>
      <c r="B127" s="3" t="inlineStr">
        <is>
          <t>星期</t>
        </is>
      </c>
      <c r="C127" s="3" t="inlineStr">
        <is>
          <t>xīngqī</t>
        </is>
      </c>
      <c r="D127" s="4" t="inlineStr">
        <is>
          <t>week</t>
        </is>
      </c>
      <c r="E127" s="3" t="inlineStr">
        <is>
          <t>星 xīng (X+ING) · 期 qī (Q+I)</t>
        </is>
      </c>
      <c r="F127" s="3" t="inlineStr">
        <is>
          <t>1-1</t>
        </is>
      </c>
    </row>
    <row r="128" ht="15.75" customHeight="1" s="9">
      <c r="A128" s="3" t="n">
        <v>1</v>
      </c>
      <c r="B128" s="3" t="inlineStr">
        <is>
          <t>学生</t>
        </is>
      </c>
      <c r="C128" s="3" t="inlineStr">
        <is>
          <t>xuésheng</t>
        </is>
      </c>
      <c r="D128" s="4" t="inlineStr">
        <is>
          <t>student</t>
        </is>
      </c>
      <c r="E128" s="3" t="inlineStr">
        <is>
          <t>学 xué (X+UE) · 生 sheng (SH+(E)NG)</t>
        </is>
      </c>
      <c r="F128" s="3" t="inlineStr">
        <is>
          <t>2-5</t>
        </is>
      </c>
    </row>
    <row r="129" ht="15.75" customHeight="1" s="9">
      <c r="A129" s="3" t="n">
        <v>1</v>
      </c>
      <c r="B129" s="3" t="inlineStr">
        <is>
          <t>学习</t>
        </is>
      </c>
      <c r="C129" s="3" t="inlineStr">
        <is>
          <t>xuéxí</t>
        </is>
      </c>
      <c r="D129" s="4" t="inlineStr">
        <is>
          <t>study; learn</t>
        </is>
      </c>
      <c r="E129" s="3" t="inlineStr">
        <is>
          <t>学 xué (X+UE) · 习 xí (X+I)</t>
        </is>
      </c>
      <c r="F129" s="3" t="inlineStr">
        <is>
          <t>2-2</t>
        </is>
      </c>
    </row>
    <row r="130" ht="15.75" customHeight="1" s="9">
      <c r="A130" s="3" t="n">
        <v>1</v>
      </c>
      <c r="B130" s="3" t="inlineStr">
        <is>
          <t>学校</t>
        </is>
      </c>
      <c r="C130" s="3" t="inlineStr">
        <is>
          <t>xuéxiào</t>
        </is>
      </c>
      <c r="D130" s="4" t="inlineStr">
        <is>
          <t>school</t>
        </is>
      </c>
      <c r="E130" s="3" t="inlineStr">
        <is>
          <t>学 xué (X+UE) · 校 xiào (X+IAO)</t>
        </is>
      </c>
      <c r="F130" s="3" t="inlineStr">
        <is>
          <t>2-4</t>
        </is>
      </c>
    </row>
    <row r="131" ht="15.75" customHeight="1" s="9">
      <c r="A131" s="3" t="n">
        <v>1</v>
      </c>
      <c r="B131" s="3" t="inlineStr">
        <is>
          <t>一</t>
        </is>
      </c>
      <c r="C131" s="3" t="inlineStr">
        <is>
          <t>yī</t>
        </is>
      </c>
      <c r="D131" s="4" t="inlineStr">
        <is>
          <t>one</t>
        </is>
      </c>
      <c r="E131" s="3" t="inlineStr">
        <is>
          <t>一 yī (Y+I)</t>
        </is>
      </c>
      <c r="F131" s="3" t="inlineStr">
        <is>
          <t>1</t>
        </is>
      </c>
    </row>
    <row r="132" ht="15.75" customHeight="1" s="9">
      <c r="A132" s="3" t="n">
        <v>1</v>
      </c>
      <c r="B132" s="3" t="inlineStr">
        <is>
          <t>一点儿</t>
        </is>
      </c>
      <c r="C132" s="3" t="inlineStr">
        <is>
          <t>yìdiǎnr</t>
        </is>
      </c>
      <c r="D132" s="4" t="inlineStr">
        <is>
          <t>a little</t>
        </is>
      </c>
      <c r="E132" s="3" t="inlineStr">
        <is>
          <t>一 yì (Y+I) · 点 diǎn (D+IAN)</t>
        </is>
      </c>
      <c r="F132" s="3" t="inlineStr">
        <is>
          <t>4-3</t>
        </is>
      </c>
    </row>
    <row r="133" ht="15.75" customHeight="1" s="9">
      <c r="A133" s="3" t="n">
        <v>1</v>
      </c>
      <c r="B133" s="3" t="inlineStr">
        <is>
          <t>衣服</t>
        </is>
      </c>
      <c r="C133" s="3" t="inlineStr">
        <is>
          <t>yīfu</t>
        </is>
      </c>
      <c r="D133" s="4" t="inlineStr">
        <is>
          <t>clothes</t>
        </is>
      </c>
      <c r="E133" s="3" t="inlineStr">
        <is>
          <t>衣 yī (Y+I) · 服 fu (F+U)</t>
        </is>
      </c>
      <c r="F133" s="3" t="inlineStr">
        <is>
          <t>1-5</t>
        </is>
      </c>
    </row>
    <row r="134" ht="15.75" customHeight="1" s="9">
      <c r="A134" s="3" t="n">
        <v>1</v>
      </c>
      <c r="B134" s="3" t="inlineStr">
        <is>
          <t>医生</t>
        </is>
      </c>
      <c r="C134" s="3" t="inlineStr">
        <is>
          <t>yīshēng</t>
        </is>
      </c>
      <c r="D134" s="4" t="inlineStr">
        <is>
          <t>doctor</t>
        </is>
      </c>
      <c r="E134" s="3" t="inlineStr">
        <is>
          <t>医 yī (Y+I) · 生 shēng (SH+(E)NG)</t>
        </is>
      </c>
      <c r="F134" s="3" t="inlineStr">
        <is>
          <t>1-1</t>
        </is>
      </c>
    </row>
    <row r="135" ht="15.75" customHeight="1" s="9">
      <c r="A135" s="3" t="n">
        <v>1</v>
      </c>
      <c r="B135" s="3" t="inlineStr">
        <is>
          <t>医院</t>
        </is>
      </c>
      <c r="C135" s="3" t="inlineStr">
        <is>
          <t>yīyuàn</t>
        </is>
      </c>
      <c r="D135" s="4" t="inlineStr">
        <is>
          <t>hospital</t>
        </is>
      </c>
      <c r="E135" s="3" t="inlineStr">
        <is>
          <t>医 yī (Y+I) · 院 yuàn (Y+UAN (14th, Jacob-specific))</t>
        </is>
      </c>
      <c r="F135" s="3" t="inlineStr">
        <is>
          <t>1-4</t>
        </is>
      </c>
    </row>
    <row r="136" ht="15.75" customHeight="1" s="9">
      <c r="A136" s="3" t="n">
        <v>1</v>
      </c>
      <c r="B136" s="3" t="inlineStr">
        <is>
          <t>椅子</t>
        </is>
      </c>
      <c r="C136" s="3" t="inlineStr">
        <is>
          <t>yǐzi</t>
        </is>
      </c>
      <c r="D136" s="4" t="inlineStr">
        <is>
          <t>chair</t>
        </is>
      </c>
      <c r="E136" s="3" t="inlineStr">
        <is>
          <t>椅 yǐ (Y+I) · 子 zi (Z+Ø (no final))</t>
        </is>
      </c>
      <c r="F136" s="3" t="inlineStr">
        <is>
          <t>3-5</t>
        </is>
      </c>
    </row>
    <row r="137" ht="15.75" customHeight="1" s="9">
      <c r="A137" s="3" t="n">
        <v>1</v>
      </c>
      <c r="B137" s="3" t="inlineStr">
        <is>
          <t>有</t>
        </is>
      </c>
      <c r="C137" s="3" t="inlineStr">
        <is>
          <t>yǒu</t>
        </is>
      </c>
      <c r="D137" s="4" t="inlineStr">
        <is>
          <t>have; there is</t>
        </is>
      </c>
      <c r="E137" s="3" t="inlineStr">
        <is>
          <t>有 yǒu (Y+OU)</t>
        </is>
      </c>
      <c r="F137" s="3" t="inlineStr">
        <is>
          <t>3</t>
        </is>
      </c>
    </row>
    <row r="138" ht="15.75" customHeight="1" s="9">
      <c r="A138" s="3" t="n">
        <v>1</v>
      </c>
      <c r="B138" s="3" t="inlineStr">
        <is>
          <t>月</t>
        </is>
      </c>
      <c r="C138" s="3" t="inlineStr">
        <is>
          <t>yuè</t>
        </is>
      </c>
      <c r="D138" s="4" t="inlineStr">
        <is>
          <t>month; moon</t>
        </is>
      </c>
      <c r="E138" s="3" t="inlineStr">
        <is>
          <t>月 yuè (Y+UE)</t>
        </is>
      </c>
      <c r="F138" s="3" t="inlineStr">
        <is>
          <t>4</t>
        </is>
      </c>
    </row>
    <row r="139" ht="15.75" customHeight="1" s="9">
      <c r="A139" s="3" t="n">
        <v>1</v>
      </c>
      <c r="B139" s="3" t="inlineStr">
        <is>
          <t>再见</t>
        </is>
      </c>
      <c r="C139" s="3" t="inlineStr">
        <is>
          <t>zàijiàn</t>
        </is>
      </c>
      <c r="D139" s="4" t="inlineStr">
        <is>
          <t>goodbye</t>
        </is>
      </c>
      <c r="E139" s="3" t="inlineStr">
        <is>
          <t>再 zài (Z+AI) · 见 jiàn (J+IAN)</t>
        </is>
      </c>
      <c r="F139" s="3" t="inlineStr">
        <is>
          <t>4-4</t>
        </is>
      </c>
    </row>
    <row r="140" ht="15.75" customHeight="1" s="9">
      <c r="A140" s="3" t="n">
        <v>1</v>
      </c>
      <c r="B140" s="3" t="inlineStr">
        <is>
          <t>在</t>
        </is>
      </c>
      <c r="C140" s="3" t="inlineStr">
        <is>
          <t>zài</t>
        </is>
      </c>
      <c r="D140" s="4" t="inlineStr">
        <is>
          <t>at; in; be located</t>
        </is>
      </c>
      <c r="E140" s="3" t="inlineStr">
        <is>
          <t>在 zài (Z+AI)</t>
        </is>
      </c>
      <c r="F140" s="3" t="inlineStr">
        <is>
          <t>4</t>
        </is>
      </c>
    </row>
    <row r="141" ht="15.75" customHeight="1" s="9">
      <c r="A141" s="3" t="n">
        <v>1</v>
      </c>
      <c r="B141" s="3" t="inlineStr">
        <is>
          <t>怎么</t>
        </is>
      </c>
      <c r="C141" s="3" t="inlineStr">
        <is>
          <t>zěnme</t>
        </is>
      </c>
      <c r="D141" s="4" t="inlineStr">
        <is>
          <t>how</t>
        </is>
      </c>
      <c r="E141" s="3" t="inlineStr">
        <is>
          <t>怎 zěn (Z+(E)N) · 么 me (M+E)</t>
        </is>
      </c>
      <c r="F141" s="3" t="inlineStr">
        <is>
          <t>3-5</t>
        </is>
      </c>
    </row>
    <row r="142" ht="15.75" customHeight="1" s="9">
      <c r="A142" s="3" t="n">
        <v>1</v>
      </c>
      <c r="B142" s="3" t="inlineStr">
        <is>
          <t>怎么样</t>
        </is>
      </c>
      <c r="C142" s="3" t="inlineStr">
        <is>
          <t>zěnmeyàng</t>
        </is>
      </c>
      <c r="D142" s="4" t="inlineStr">
        <is>
          <t>how about; how is</t>
        </is>
      </c>
      <c r="E142" s="3" t="inlineStr">
        <is>
          <t>怎 zěn (Z+(E)N) · 么 me (M+E) · 样 yàng (Y+ANG)</t>
        </is>
      </c>
      <c r="F142" s="3" t="inlineStr">
        <is>
          <t>3-5-4</t>
        </is>
      </c>
    </row>
    <row r="143" ht="15.75" customHeight="1" s="9">
      <c r="A143" s="3" t="n">
        <v>1</v>
      </c>
      <c r="B143" s="3" t="inlineStr">
        <is>
          <t>这</t>
        </is>
      </c>
      <c r="C143" s="3" t="inlineStr">
        <is>
          <t>zhè</t>
        </is>
      </c>
      <c r="D143" s="4" t="inlineStr">
        <is>
          <t>this</t>
        </is>
      </c>
      <c r="E143" s="3" t="inlineStr">
        <is>
          <t>这 zhè (ZH+E)</t>
        </is>
      </c>
      <c r="F143" s="3" t="inlineStr">
        <is>
          <t>4</t>
        </is>
      </c>
    </row>
    <row r="144" ht="15.75" customHeight="1" s="9">
      <c r="A144" s="3" t="n">
        <v>1</v>
      </c>
      <c r="B144" s="3" t="inlineStr">
        <is>
          <t>中国</t>
        </is>
      </c>
      <c r="C144" s="3" t="inlineStr">
        <is>
          <t>Zhōngguó</t>
        </is>
      </c>
      <c r="D144" s="4" t="inlineStr">
        <is>
          <t>China</t>
        </is>
      </c>
      <c r="E144" s="3" t="inlineStr">
        <is>
          <t>中 zhōng (ZH+ONG) · 国 guó (G+UO)</t>
        </is>
      </c>
      <c r="F144" s="3" t="inlineStr">
        <is>
          <t>1-2</t>
        </is>
      </c>
    </row>
    <row r="145" ht="15.75" customHeight="1" s="9">
      <c r="A145" s="3" t="n">
        <v>1</v>
      </c>
      <c r="B145" s="3" t="inlineStr">
        <is>
          <t>中午</t>
        </is>
      </c>
      <c r="C145" s="3" t="inlineStr">
        <is>
          <t>zhōngwǔ</t>
        </is>
      </c>
      <c r="D145" s="4" t="inlineStr">
        <is>
          <t>noon</t>
        </is>
      </c>
      <c r="E145" s="3" t="inlineStr">
        <is>
          <t>中 zhōng (ZH+ONG) · 午 wǔ (W+U)</t>
        </is>
      </c>
      <c r="F145" s="3" t="inlineStr">
        <is>
          <t>1-3</t>
        </is>
      </c>
    </row>
    <row r="146" ht="15.75" customHeight="1" s="9">
      <c r="A146" s="3" t="n">
        <v>1</v>
      </c>
      <c r="B146" s="3" t="inlineStr">
        <is>
          <t>住</t>
        </is>
      </c>
      <c r="C146" s="3" t="inlineStr">
        <is>
          <t>zhù</t>
        </is>
      </c>
      <c r="D146" s="4" t="inlineStr">
        <is>
          <t>live; reside</t>
        </is>
      </c>
      <c r="E146" s="3" t="inlineStr">
        <is>
          <t>住 zhù (ZH+U)</t>
        </is>
      </c>
      <c r="F146" s="3" t="inlineStr">
        <is>
          <t>4</t>
        </is>
      </c>
    </row>
    <row r="147" ht="15.75" customHeight="1" s="9">
      <c r="A147" s="3" t="n">
        <v>1</v>
      </c>
      <c r="B147" s="3" t="inlineStr">
        <is>
          <t>桌子</t>
        </is>
      </c>
      <c r="C147" s="3" t="inlineStr">
        <is>
          <t>zhuōzi</t>
        </is>
      </c>
      <c r="D147" s="4" t="inlineStr">
        <is>
          <t>table; desk</t>
        </is>
      </c>
      <c r="E147" s="3" t="inlineStr">
        <is>
          <t>桌 zhuō (ZH+UO) · 子 zi (Z+Ø (no final))</t>
        </is>
      </c>
      <c r="F147" s="3" t="inlineStr">
        <is>
          <t>1-5</t>
        </is>
      </c>
    </row>
    <row r="148" ht="15.75" customHeight="1" s="9">
      <c r="A148" s="3" t="n">
        <v>1</v>
      </c>
      <c r="B148" s="3" t="inlineStr">
        <is>
          <t>字</t>
        </is>
      </c>
      <c r="C148" s="3" t="inlineStr">
        <is>
          <t>zì</t>
        </is>
      </c>
      <c r="D148" s="4" t="inlineStr">
        <is>
          <t>character; word</t>
        </is>
      </c>
      <c r="E148" s="3" t="inlineStr">
        <is>
          <t>字 zì (Z+Ø (no final))</t>
        </is>
      </c>
      <c r="F148" s="3" t="inlineStr">
        <is>
          <t>4</t>
        </is>
      </c>
    </row>
    <row r="149" ht="15.75" customHeight="1" s="9">
      <c r="A149" s="3" t="n">
        <v>1</v>
      </c>
      <c r="B149" s="3" t="inlineStr">
        <is>
          <t>昨天</t>
        </is>
      </c>
      <c r="C149" s="3" t="inlineStr">
        <is>
          <t>zuótiān</t>
        </is>
      </c>
      <c r="D149" s="4" t="inlineStr">
        <is>
          <t>yesterday</t>
        </is>
      </c>
      <c r="E149" s="3" t="inlineStr">
        <is>
          <t>昨 zuó (Z+UO) · 天 tiān (T+IAN)</t>
        </is>
      </c>
      <c r="F149" s="3" t="inlineStr">
        <is>
          <t>2-1</t>
        </is>
      </c>
    </row>
    <row r="150" ht="15.75" customHeight="1" s="9">
      <c r="A150" s="3" t="n">
        <v>1</v>
      </c>
      <c r="B150" s="3" t="inlineStr">
        <is>
          <t>坐</t>
        </is>
      </c>
      <c r="C150" s="3" t="inlineStr">
        <is>
          <t>zuò</t>
        </is>
      </c>
      <c r="D150" s="4" t="inlineStr">
        <is>
          <t>sit; take transport</t>
        </is>
      </c>
      <c r="E150" s="3" t="inlineStr">
        <is>
          <t>坐 zuò (Z+UO)</t>
        </is>
      </c>
      <c r="F150" s="3" t="inlineStr">
        <is>
          <t>4</t>
        </is>
      </c>
    </row>
    <row r="151" ht="15.75" customHeight="1" s="9">
      <c r="A151" s="3" t="n">
        <v>1</v>
      </c>
      <c r="B151" s="3" t="inlineStr">
        <is>
          <t>做</t>
        </is>
      </c>
      <c r="C151" s="3" t="inlineStr">
        <is>
          <t>zuò</t>
        </is>
      </c>
      <c r="D151" s="4" t="inlineStr">
        <is>
          <t>do; make</t>
        </is>
      </c>
      <c r="E151" s="3" t="inlineStr">
        <is>
          <t>做 zuò (Z+UO)</t>
        </is>
      </c>
      <c r="F151" s="3" t="inlineStr">
        <is>
          <t>4</t>
        </is>
      </c>
    </row>
    <row r="152" ht="15.75" customHeight="1" s="9">
      <c r="A152" s="3" t="n">
        <v>2</v>
      </c>
      <c r="B152" s="3" t="inlineStr">
        <is>
          <t>吧</t>
        </is>
      </c>
      <c r="C152" s="3" t="inlineStr">
        <is>
          <t>ba</t>
        </is>
      </c>
      <c r="D152" s="4" t="inlineStr">
        <is>
          <t>suggestion particle; OK?</t>
        </is>
      </c>
      <c r="E152" s="3" t="inlineStr">
        <is>
          <t>吧 ba (B+A)</t>
        </is>
      </c>
      <c r="F152" s="3" t="inlineStr">
        <is>
          <t>5</t>
        </is>
      </c>
    </row>
    <row r="153" ht="15.75" customHeight="1" s="9">
      <c r="A153" s="3" t="n">
        <v>2</v>
      </c>
      <c r="B153" s="3" t="inlineStr">
        <is>
          <t>白</t>
        </is>
      </c>
      <c r="C153" s="3" t="inlineStr">
        <is>
          <t>bái</t>
        </is>
      </c>
      <c r="D153" s="4" t="inlineStr">
        <is>
          <t>white</t>
        </is>
      </c>
      <c r="E153" s="3" t="inlineStr">
        <is>
          <t>白 bái (B+AI)</t>
        </is>
      </c>
      <c r="F153" s="3" t="inlineStr">
        <is>
          <t>2</t>
        </is>
      </c>
    </row>
    <row r="154" ht="15.75" customHeight="1" s="9">
      <c r="A154" s="3" t="n">
        <v>2</v>
      </c>
      <c r="B154" s="3" t="inlineStr">
        <is>
          <t>百</t>
        </is>
      </c>
      <c r="C154" s="3" t="inlineStr">
        <is>
          <t>bǎi</t>
        </is>
      </c>
      <c r="D154" s="4" t="inlineStr">
        <is>
          <t>hundred</t>
        </is>
      </c>
      <c r="E154" s="3" t="inlineStr">
        <is>
          <t>百 bǎi (B+AI)</t>
        </is>
      </c>
      <c r="F154" s="3" t="inlineStr">
        <is>
          <t>3</t>
        </is>
      </c>
    </row>
    <row r="155" ht="15.75" customHeight="1" s="9">
      <c r="A155" s="3" t="n">
        <v>2</v>
      </c>
      <c r="B155" s="3" t="inlineStr">
        <is>
          <t>帮助</t>
        </is>
      </c>
      <c r="C155" s="3" t="inlineStr">
        <is>
          <t>bāng zhù</t>
        </is>
      </c>
      <c r="D155" s="4" t="inlineStr">
        <is>
          <t>help</t>
        </is>
      </c>
      <c r="E155" s="3" t="inlineStr">
        <is>
          <t>帮 bāng (B+ANG) · 助 zhù (ZH+U)</t>
        </is>
      </c>
      <c r="F155" s="3" t="inlineStr">
        <is>
          <t>1-4</t>
        </is>
      </c>
    </row>
    <row r="156" ht="15.75" customHeight="1" s="9">
      <c r="A156" s="3" t="n">
        <v>2</v>
      </c>
      <c r="B156" s="3" t="inlineStr">
        <is>
          <t>报纸</t>
        </is>
      </c>
      <c r="C156" s="3" t="inlineStr">
        <is>
          <t>bào zhǐ</t>
        </is>
      </c>
      <c r="D156" s="4" t="inlineStr">
        <is>
          <t>newspaper</t>
        </is>
      </c>
      <c r="E156" s="3" t="inlineStr">
        <is>
          <t>报 bào (B+AO) · 纸 zhǐ (ZH+Ø (no final))</t>
        </is>
      </c>
      <c r="F156" s="3" t="inlineStr">
        <is>
          <t>4-3</t>
        </is>
      </c>
    </row>
    <row r="157" ht="15.75" customHeight="1" s="9">
      <c r="A157" s="3" t="n">
        <v>2</v>
      </c>
      <c r="B157" s="3" t="inlineStr">
        <is>
          <t>比</t>
        </is>
      </c>
      <c r="C157" s="3" t="inlineStr">
        <is>
          <t>bǐ</t>
        </is>
      </c>
      <c r="D157" s="4" t="inlineStr">
        <is>
          <t>than; compare</t>
        </is>
      </c>
      <c r="E157" s="3" t="inlineStr">
        <is>
          <t>比 bǐ (B+I)</t>
        </is>
      </c>
      <c r="F157" s="3" t="inlineStr">
        <is>
          <t>3</t>
        </is>
      </c>
    </row>
    <row r="158" ht="15.75" customHeight="1" s="9">
      <c r="A158" s="3" t="n">
        <v>2</v>
      </c>
      <c r="B158" s="3" t="inlineStr">
        <is>
          <t>别</t>
        </is>
      </c>
      <c r="C158" s="3" t="inlineStr">
        <is>
          <t>bié</t>
        </is>
      </c>
      <c r="D158" s="4" t="inlineStr">
        <is>
          <t>do not; other</t>
        </is>
      </c>
      <c r="E158" s="3" t="inlineStr">
        <is>
          <t>别 bié (B+IE)</t>
        </is>
      </c>
      <c r="F158" s="3" t="inlineStr">
        <is>
          <t>2</t>
        </is>
      </c>
    </row>
    <row r="159" ht="15.75" customHeight="1" s="9">
      <c r="A159" s="3" t="n">
        <v>2</v>
      </c>
      <c r="B159" s="3" t="inlineStr">
        <is>
          <t>宾馆</t>
        </is>
      </c>
      <c r="C159" s="3" t="inlineStr">
        <is>
          <t>bīn guǎn</t>
        </is>
      </c>
      <c r="D159" s="4" t="inlineStr">
        <is>
          <t>hotel; guesthouse</t>
        </is>
      </c>
      <c r="E159" s="3" t="inlineStr">
        <is>
          <t>宾 bīn (B+IN) · 馆 guǎn (G+UAN (14th, Jacob-specific))</t>
        </is>
      </c>
      <c r="F159" s="3" t="inlineStr">
        <is>
          <t>1-3</t>
        </is>
      </c>
    </row>
    <row r="160" ht="15.75" customHeight="1" s="9">
      <c r="A160" s="3" t="n">
        <v>2</v>
      </c>
      <c r="B160" s="3" t="inlineStr">
        <is>
          <t>长</t>
        </is>
      </c>
      <c r="C160" s="3" t="inlineStr">
        <is>
          <t>cháng</t>
        </is>
      </c>
      <c r="D160" s="4" t="inlineStr">
        <is>
          <t>long</t>
        </is>
      </c>
      <c r="E160" s="3" t="inlineStr">
        <is>
          <t>长 cháng (CH+ANG)</t>
        </is>
      </c>
      <c r="F160" s="3" t="inlineStr">
        <is>
          <t>2</t>
        </is>
      </c>
    </row>
    <row r="161" ht="15.75" customHeight="1" s="9">
      <c r="A161" s="3" t="n">
        <v>2</v>
      </c>
      <c r="B161" s="3" t="inlineStr">
        <is>
          <t>唱歌</t>
        </is>
      </c>
      <c r="C161" s="3" t="inlineStr">
        <is>
          <t>chàng gē</t>
        </is>
      </c>
      <c r="D161" s="4" t="inlineStr">
        <is>
          <t>sing</t>
        </is>
      </c>
      <c r="E161" s="3" t="inlineStr">
        <is>
          <t>唱 chàng (CH+ANG) · 歌 gē (G+E)</t>
        </is>
      </c>
      <c r="F161" s="3" t="inlineStr">
        <is>
          <t>4-1</t>
        </is>
      </c>
    </row>
    <row r="162" ht="15.75" customHeight="1" s="9">
      <c r="A162" s="3" t="n">
        <v>2</v>
      </c>
      <c r="B162" s="3" t="inlineStr">
        <is>
          <t>出</t>
        </is>
      </c>
      <c r="C162" s="3" t="inlineStr">
        <is>
          <t>chū</t>
        </is>
      </c>
      <c r="D162" s="4" t="inlineStr">
        <is>
          <t>go out; exit</t>
        </is>
      </c>
      <c r="E162" s="3" t="inlineStr">
        <is>
          <t>出 chū (CH+U)</t>
        </is>
      </c>
      <c r="F162" s="3" t="inlineStr">
        <is>
          <t>1</t>
        </is>
      </c>
    </row>
    <row r="163" ht="15.75" customHeight="1" s="9">
      <c r="A163" s="3" t="n">
        <v>2</v>
      </c>
      <c r="B163" s="3" t="inlineStr">
        <is>
          <t>穿</t>
        </is>
      </c>
      <c r="C163" s="3" t="inlineStr">
        <is>
          <t>chuān</t>
        </is>
      </c>
      <c r="D163" s="4" t="inlineStr">
        <is>
          <t>wear; put on</t>
        </is>
      </c>
      <c r="E163" s="3" t="inlineStr">
        <is>
          <t>穿 chuān (CH+UAN (14th, Jacob-specific))</t>
        </is>
      </c>
      <c r="F163" s="3" t="inlineStr">
        <is>
          <t>1</t>
        </is>
      </c>
    </row>
    <row r="164" ht="15.75" customHeight="1" s="9">
      <c r="A164" s="3" t="n">
        <v>2</v>
      </c>
      <c r="B164" s="3" t="inlineStr">
        <is>
          <t>次</t>
        </is>
      </c>
      <c r="C164" s="3" t="inlineStr">
        <is>
          <t>cì</t>
        </is>
      </c>
      <c r="D164" s="4" t="inlineStr">
        <is>
          <t>time; occurrence</t>
        </is>
      </c>
      <c r="E164" s="3" t="inlineStr">
        <is>
          <t>次 cì (C+Ø (no final))</t>
        </is>
      </c>
      <c r="F164" s="3" t="inlineStr">
        <is>
          <t>4</t>
        </is>
      </c>
    </row>
    <row r="165" ht="15.75" customHeight="1" s="9">
      <c r="A165" s="3" t="n">
        <v>2</v>
      </c>
      <c r="B165" s="3" t="inlineStr">
        <is>
          <t>从</t>
        </is>
      </c>
      <c r="C165" s="3" t="inlineStr">
        <is>
          <t>cóng</t>
        </is>
      </c>
      <c r="D165" s="4" t="inlineStr">
        <is>
          <t>from</t>
        </is>
      </c>
      <c r="E165" s="3" t="inlineStr">
        <is>
          <t>从 cóng (C+ONG)</t>
        </is>
      </c>
      <c r="F165" s="3" t="inlineStr">
        <is>
          <t>2</t>
        </is>
      </c>
    </row>
    <row r="166" ht="15.75" customHeight="1" s="9">
      <c r="A166" s="3" t="n">
        <v>2</v>
      </c>
      <c r="B166" s="3" t="inlineStr">
        <is>
          <t>错</t>
        </is>
      </c>
      <c r="C166" s="3" t="inlineStr">
        <is>
          <t>cuò</t>
        </is>
      </c>
      <c r="D166" s="4" t="inlineStr">
        <is>
          <t>wrong; mistake</t>
        </is>
      </c>
      <c r="E166" s="3" t="inlineStr">
        <is>
          <t>错 cuò (C+UO)</t>
        </is>
      </c>
      <c r="F166" s="3" t="inlineStr">
        <is>
          <t>4</t>
        </is>
      </c>
    </row>
    <row r="167" ht="15.75" customHeight="1" s="9">
      <c r="A167" s="3" t="n">
        <v>2</v>
      </c>
      <c r="B167" s="3" t="inlineStr">
        <is>
          <t>打篮球</t>
        </is>
      </c>
      <c r="C167" s="3" t="inlineStr">
        <is>
          <t>dǎ lán qiú</t>
        </is>
      </c>
      <c r="D167" s="4" t="inlineStr">
        <is>
          <t>play basketball</t>
        </is>
      </c>
      <c r="E167" s="3" t="inlineStr">
        <is>
          <t>打 dǎ (D+A) · 篮 lán (L+AN) · 球 qiú (Q+IU)</t>
        </is>
      </c>
      <c r="F167" s="3" t="inlineStr">
        <is>
          <t>3-2-2</t>
        </is>
      </c>
    </row>
    <row r="168" ht="15.75" customHeight="1" s="9">
      <c r="A168" s="3" t="n">
        <v>2</v>
      </c>
      <c r="B168" s="3" t="inlineStr">
        <is>
          <t>大家</t>
        </is>
      </c>
      <c r="C168" s="3" t="inlineStr">
        <is>
          <t>dà jiā</t>
        </is>
      </c>
      <c r="D168" s="4" t="inlineStr">
        <is>
          <t>everyone</t>
        </is>
      </c>
      <c r="E168" s="3" t="inlineStr">
        <is>
          <t>大 dà (D+A) · 家 jiā (J+IA)</t>
        </is>
      </c>
      <c r="F168" s="3" t="inlineStr">
        <is>
          <t>4-1</t>
        </is>
      </c>
    </row>
    <row r="169" ht="15.75" customHeight="1" s="9">
      <c r="A169" s="3" t="n">
        <v>2</v>
      </c>
      <c r="B169" s="3" t="inlineStr">
        <is>
          <t>到</t>
        </is>
      </c>
      <c r="C169" s="3" t="inlineStr">
        <is>
          <t>dào</t>
        </is>
      </c>
      <c r="D169" s="4" t="inlineStr">
        <is>
          <t>arrive; to</t>
        </is>
      </c>
      <c r="E169" s="3" t="inlineStr">
        <is>
          <t>到 dào (D+AO)</t>
        </is>
      </c>
      <c r="F169" s="3" t="inlineStr">
        <is>
          <t>4</t>
        </is>
      </c>
    </row>
    <row r="170" ht="15.75" customHeight="1" s="9">
      <c r="A170" s="3" t="n">
        <v>2</v>
      </c>
      <c r="B170" s="3" t="inlineStr">
        <is>
          <t>得</t>
        </is>
      </c>
      <c r="C170" s="3" t="inlineStr">
        <is>
          <t>de</t>
        </is>
      </c>
      <c r="D170" s="4" t="inlineStr">
        <is>
          <t>degree complement particle</t>
        </is>
      </c>
      <c r="E170" s="3" t="inlineStr">
        <is>
          <t>得 de (D+E)</t>
        </is>
      </c>
      <c r="F170" s="3" t="inlineStr">
        <is>
          <t>5</t>
        </is>
      </c>
    </row>
    <row r="171" ht="15.75" customHeight="1" s="9">
      <c r="A171" s="3" t="n">
        <v>2</v>
      </c>
      <c r="B171" s="3" t="inlineStr">
        <is>
          <t>等</t>
        </is>
      </c>
      <c r="C171" s="3" t="inlineStr">
        <is>
          <t>děng</t>
        </is>
      </c>
      <c r="D171" s="4" t="inlineStr">
        <is>
          <t>wait</t>
        </is>
      </c>
      <c r="E171" s="3" t="inlineStr">
        <is>
          <t>等 děng (D+(E)NG)</t>
        </is>
      </c>
      <c r="F171" s="3" t="inlineStr">
        <is>
          <t>3</t>
        </is>
      </c>
    </row>
    <row r="172" ht="15.75" customHeight="1" s="9">
      <c r="A172" s="3" t="n">
        <v>2</v>
      </c>
      <c r="B172" s="3" t="inlineStr">
        <is>
          <t>弟弟</t>
        </is>
      </c>
      <c r="C172" s="3" t="inlineStr">
        <is>
          <t>dì di</t>
        </is>
      </c>
      <c r="D172" s="4" t="inlineStr">
        <is>
          <t>younger brother</t>
        </is>
      </c>
      <c r="E172" s="3" t="inlineStr">
        <is>
          <t>弟 dì (D+I) · 弟 di (D+I)</t>
        </is>
      </c>
      <c r="F172" s="3" t="inlineStr">
        <is>
          <t>4-5</t>
        </is>
      </c>
    </row>
    <row r="173" ht="15.75" customHeight="1" s="9">
      <c r="A173" s="3" t="n">
        <v>2</v>
      </c>
      <c r="B173" s="3" t="inlineStr">
        <is>
          <t>第一</t>
        </is>
      </c>
      <c r="C173" s="3" t="inlineStr">
        <is>
          <t>dì yī</t>
        </is>
      </c>
      <c r="D173" s="4" t="inlineStr">
        <is>
          <t>first</t>
        </is>
      </c>
      <c r="E173" s="3" t="inlineStr">
        <is>
          <t>第 dì (D+I) · 一 yī (Y+I)</t>
        </is>
      </c>
      <c r="F173" s="3" t="inlineStr">
        <is>
          <t>4-1</t>
        </is>
      </c>
    </row>
    <row r="174" ht="15.75" customHeight="1" s="9">
      <c r="A174" s="3" t="n">
        <v>2</v>
      </c>
      <c r="B174" s="3" t="inlineStr">
        <is>
          <t>懂</t>
        </is>
      </c>
      <c r="C174" s="3" t="inlineStr">
        <is>
          <t>dǒng</t>
        </is>
      </c>
      <c r="D174" s="4" t="inlineStr">
        <is>
          <t>understand</t>
        </is>
      </c>
      <c r="E174" s="3" t="inlineStr">
        <is>
          <t>懂 dǒng (D+ONG)</t>
        </is>
      </c>
      <c r="F174" s="3" t="inlineStr">
        <is>
          <t>3</t>
        </is>
      </c>
    </row>
    <row r="175" ht="15.75" customHeight="1" s="9">
      <c r="A175" s="3" t="n">
        <v>2</v>
      </c>
      <c r="B175" s="3" t="inlineStr">
        <is>
          <t>对</t>
        </is>
      </c>
      <c r="C175" s="3" t="inlineStr">
        <is>
          <t>duì</t>
        </is>
      </c>
      <c r="D175" s="4" t="inlineStr">
        <is>
          <t>toward; for</t>
        </is>
      </c>
      <c r="E175" s="3" t="inlineStr">
        <is>
          <t>对 duì (D+UI)</t>
        </is>
      </c>
      <c r="F175" s="3" t="inlineStr">
        <is>
          <t>4</t>
        </is>
      </c>
    </row>
    <row r="176" ht="15.75" customHeight="1" s="9">
      <c r="A176" s="3" t="n">
        <v>2</v>
      </c>
      <c r="B176" s="3" t="inlineStr">
        <is>
          <t>对</t>
        </is>
      </c>
      <c r="C176" s="3" t="inlineStr">
        <is>
          <t>duì</t>
        </is>
      </c>
      <c r="D176" s="4" t="inlineStr">
        <is>
          <t>correct; right</t>
        </is>
      </c>
      <c r="E176" s="3" t="inlineStr">
        <is>
          <t>对 duì (D+UI)</t>
        </is>
      </c>
      <c r="F176" s="3" t="inlineStr">
        <is>
          <t>4</t>
        </is>
      </c>
    </row>
    <row r="177" ht="15.75" customHeight="1" s="9">
      <c r="A177" s="3" t="n">
        <v>2</v>
      </c>
      <c r="B177" s="3" t="inlineStr">
        <is>
          <t>房间</t>
        </is>
      </c>
      <c r="C177" s="3" t="inlineStr">
        <is>
          <t>fáng jiān</t>
        </is>
      </c>
      <c r="D177" s="4" t="inlineStr">
        <is>
          <t>room</t>
        </is>
      </c>
      <c r="E177" s="3" t="inlineStr">
        <is>
          <t>房 fáng (F+ANG) · 间 jiān (J+IAN)</t>
        </is>
      </c>
      <c r="F177" s="3" t="inlineStr">
        <is>
          <t>2-1</t>
        </is>
      </c>
    </row>
    <row r="178" ht="15.75" customHeight="1" s="9">
      <c r="A178" s="3" t="n">
        <v>2</v>
      </c>
      <c r="B178" s="3" t="inlineStr">
        <is>
          <t>非常</t>
        </is>
      </c>
      <c r="C178" s="3" t="inlineStr">
        <is>
          <t>fēi cháng</t>
        </is>
      </c>
      <c r="D178" s="4" t="inlineStr">
        <is>
          <t>very; extremely</t>
        </is>
      </c>
      <c r="E178" s="3" t="inlineStr">
        <is>
          <t>非 fēi (F+EI) · 常 cháng (CH+ANG)</t>
        </is>
      </c>
      <c r="F178" s="3" t="inlineStr">
        <is>
          <t>1-2</t>
        </is>
      </c>
    </row>
    <row r="179" ht="15.75" customHeight="1" s="9">
      <c r="A179" s="3" t="n">
        <v>2</v>
      </c>
      <c r="B179" s="3" t="inlineStr">
        <is>
          <t>服务员</t>
        </is>
      </c>
      <c r="C179" s="3" t="inlineStr">
        <is>
          <t>fú wù yuán</t>
        </is>
      </c>
      <c r="D179" s="4" t="inlineStr">
        <is>
          <t>waiter; attendant</t>
        </is>
      </c>
      <c r="E179" s="3" t="inlineStr">
        <is>
          <t>服 fú (F+U) · 务 wù (W+U) · 员 yuán (Y+UAN (14th, Jacob-specific))</t>
        </is>
      </c>
      <c r="F179" s="3" t="inlineStr">
        <is>
          <t>2-4-2</t>
        </is>
      </c>
    </row>
    <row r="180" ht="15.75" customHeight="1" s="9">
      <c r="A180" s="3" t="n">
        <v>2</v>
      </c>
      <c r="B180" s="3" t="inlineStr">
        <is>
          <t>高</t>
        </is>
      </c>
      <c r="C180" s="3" t="inlineStr">
        <is>
          <t>gāo</t>
        </is>
      </c>
      <c r="D180" s="4" t="inlineStr">
        <is>
          <t>high; tall</t>
        </is>
      </c>
      <c r="E180" s="3" t="inlineStr">
        <is>
          <t>高 gāo (G+AO)</t>
        </is>
      </c>
      <c r="F180" s="3" t="inlineStr">
        <is>
          <t>1</t>
        </is>
      </c>
    </row>
    <row r="181" ht="15.75" customHeight="1" s="9">
      <c r="A181" s="3" t="n">
        <v>2</v>
      </c>
      <c r="B181" s="3" t="inlineStr">
        <is>
          <t>告诉</t>
        </is>
      </c>
      <c r="C181" s="3" t="inlineStr">
        <is>
          <t>gào su</t>
        </is>
      </c>
      <c r="D181" s="4" t="inlineStr">
        <is>
          <t>tell</t>
        </is>
      </c>
      <c r="E181" s="3" t="inlineStr">
        <is>
          <t>告 gào (G+AO) · 诉 su (S+U)</t>
        </is>
      </c>
      <c r="F181" s="3" t="inlineStr">
        <is>
          <t>4-5</t>
        </is>
      </c>
    </row>
    <row r="182" ht="15.75" customHeight="1" s="9">
      <c r="A182" s="3" t="n">
        <v>2</v>
      </c>
      <c r="B182" s="3" t="inlineStr">
        <is>
          <t>哥哥</t>
        </is>
      </c>
      <c r="C182" s="3" t="inlineStr">
        <is>
          <t>gē ge</t>
        </is>
      </c>
      <c r="D182" s="4" t="inlineStr">
        <is>
          <t>older brother</t>
        </is>
      </c>
      <c r="E182" s="3" t="inlineStr">
        <is>
          <t>哥 gē (G+E) · 哥 ge (G+E)</t>
        </is>
      </c>
      <c r="F182" s="3" t="inlineStr">
        <is>
          <t>1-5</t>
        </is>
      </c>
    </row>
    <row r="183" ht="15.75" customHeight="1" s="9">
      <c r="A183" s="3" t="n">
        <v>2</v>
      </c>
      <c r="B183" s="3" t="inlineStr">
        <is>
          <t>给</t>
        </is>
      </c>
      <c r="C183" s="3" t="inlineStr">
        <is>
          <t>gěi</t>
        </is>
      </c>
      <c r="D183" s="4" t="inlineStr">
        <is>
          <t>give; for</t>
        </is>
      </c>
      <c r="E183" s="3" t="inlineStr">
        <is>
          <t>给 gěi (G+EI)</t>
        </is>
      </c>
      <c r="F183" s="3" t="inlineStr">
        <is>
          <t>3</t>
        </is>
      </c>
    </row>
    <row r="184" ht="15.75" customHeight="1" s="9">
      <c r="A184" s="3" t="n">
        <v>2</v>
      </c>
      <c r="B184" s="3" t="inlineStr">
        <is>
          <t>公共汽车</t>
        </is>
      </c>
      <c r="C184" s="3" t="inlineStr">
        <is>
          <t>gōng gòng qì chē</t>
        </is>
      </c>
      <c r="D184" s="4" t="inlineStr">
        <is>
          <t>bus</t>
        </is>
      </c>
      <c r="E184" s="3" t="inlineStr">
        <is>
          <t>公 gōng (G+ONG) · 共 gòng (G+ONG) · 汽 qì (Q+I) · 车 chē (CH+E)</t>
        </is>
      </c>
      <c r="F184" s="3" t="inlineStr">
        <is>
          <t>1-4-4-1</t>
        </is>
      </c>
    </row>
    <row r="185" ht="15.75" customHeight="1" s="9">
      <c r="A185" s="3" t="n">
        <v>2</v>
      </c>
      <c r="B185" s="3" t="inlineStr">
        <is>
          <t>公司</t>
        </is>
      </c>
      <c r="C185" s="3" t="inlineStr">
        <is>
          <t>gōng sī</t>
        </is>
      </c>
      <c r="D185" s="4" t="inlineStr">
        <is>
          <t>company</t>
        </is>
      </c>
      <c r="E185" s="3" t="inlineStr">
        <is>
          <t>公 gōng (G+ONG) · 司 sī (S+Ø (no final))</t>
        </is>
      </c>
      <c r="F185" s="3" t="inlineStr">
        <is>
          <t>1-1</t>
        </is>
      </c>
    </row>
    <row r="186" ht="15.75" customHeight="1" s="9">
      <c r="A186" s="3" t="n">
        <v>2</v>
      </c>
      <c r="B186" s="3" t="inlineStr">
        <is>
          <t>贵</t>
        </is>
      </c>
      <c r="C186" s="3" t="inlineStr">
        <is>
          <t>guì</t>
        </is>
      </c>
      <c r="D186" s="4" t="inlineStr">
        <is>
          <t>expensive</t>
        </is>
      </c>
      <c r="E186" s="3" t="inlineStr">
        <is>
          <t>贵 guì (G+UI)</t>
        </is>
      </c>
      <c r="F186" s="3" t="inlineStr">
        <is>
          <t>4</t>
        </is>
      </c>
    </row>
    <row r="187" ht="15.75" customHeight="1" s="9">
      <c r="A187" s="3" t="n">
        <v>2</v>
      </c>
      <c r="B187" s="3" t="inlineStr">
        <is>
          <t>过</t>
        </is>
      </c>
      <c r="C187" s="3" t="inlineStr">
        <is>
          <t>guo</t>
        </is>
      </c>
      <c r="D187" s="4" t="inlineStr">
        <is>
          <t>experienced-action particle</t>
        </is>
      </c>
      <c r="E187" s="3" t="inlineStr">
        <is>
          <t>过 guo (G+UO)</t>
        </is>
      </c>
      <c r="F187" s="3" t="inlineStr">
        <is>
          <t>5</t>
        </is>
      </c>
    </row>
    <row r="188" ht="15.75" customHeight="1" s="9">
      <c r="A188" s="3" t="n">
        <v>2</v>
      </c>
      <c r="B188" s="3" t="inlineStr">
        <is>
          <t>孩子</t>
        </is>
      </c>
      <c r="C188" s="3" t="inlineStr">
        <is>
          <t>hái zi</t>
        </is>
      </c>
      <c r="D188" s="4" t="inlineStr">
        <is>
          <t>child</t>
        </is>
      </c>
      <c r="E188" s="3" t="inlineStr">
        <is>
          <t>孩 hái (H+AI) · 子 zi (Z+Ø (no final))</t>
        </is>
      </c>
      <c r="F188" s="3" t="inlineStr">
        <is>
          <t>2-5</t>
        </is>
      </c>
    </row>
    <row r="189" ht="15.75" customHeight="1" s="9">
      <c r="A189" s="3" t="n">
        <v>2</v>
      </c>
      <c r="B189" s="3" t="inlineStr">
        <is>
          <t>还</t>
        </is>
      </c>
      <c r="C189" s="3" t="inlineStr">
        <is>
          <t>hái</t>
        </is>
      </c>
      <c r="D189" s="4" t="inlineStr">
        <is>
          <t>still; also</t>
        </is>
      </c>
      <c r="E189" s="3" t="inlineStr">
        <is>
          <t>还 hái (H+AI)</t>
        </is>
      </c>
      <c r="F189" s="3" t="inlineStr">
        <is>
          <t>2</t>
        </is>
      </c>
    </row>
    <row r="190" ht="15.75" customHeight="1" s="9">
      <c r="A190" s="3" t="n">
        <v>2</v>
      </c>
      <c r="B190" s="3" t="inlineStr">
        <is>
          <t>好吃</t>
        </is>
      </c>
      <c r="C190" s="3" t="inlineStr">
        <is>
          <t>hǎo chī</t>
        </is>
      </c>
      <c r="D190" s="4" t="inlineStr">
        <is>
          <t>delicious</t>
        </is>
      </c>
      <c r="E190" s="3" t="inlineStr">
        <is>
          <t>好 hǎo (H+AO) · 吃 chī (CH+Ø (no final))</t>
        </is>
      </c>
      <c r="F190" s="3" t="inlineStr">
        <is>
          <t>3-1</t>
        </is>
      </c>
    </row>
    <row r="191" ht="15.75" customHeight="1" s="9">
      <c r="A191" s="3" t="n">
        <v>2</v>
      </c>
      <c r="B191" s="3" t="inlineStr">
        <is>
          <t>黑</t>
        </is>
      </c>
      <c r="C191" s="3" t="inlineStr">
        <is>
          <t>hēi</t>
        </is>
      </c>
      <c r="D191" s="4" t="inlineStr">
        <is>
          <t>black</t>
        </is>
      </c>
      <c r="E191" s="3" t="inlineStr">
        <is>
          <t>黑 hēi (H+EI)</t>
        </is>
      </c>
      <c r="F191" s="3" t="inlineStr">
        <is>
          <t>1</t>
        </is>
      </c>
    </row>
    <row r="192" ht="15.75" customHeight="1" s="9">
      <c r="A192" s="3" t="n">
        <v>2</v>
      </c>
      <c r="B192" s="3" t="inlineStr">
        <is>
          <t>红</t>
        </is>
      </c>
      <c r="C192" s="3" t="inlineStr">
        <is>
          <t>hóng</t>
        </is>
      </c>
      <c r="D192" s="4" t="inlineStr">
        <is>
          <t>red</t>
        </is>
      </c>
      <c r="E192" s="3" t="inlineStr">
        <is>
          <t>红 hóng (H+ONG)</t>
        </is>
      </c>
      <c r="F192" s="3" t="inlineStr">
        <is>
          <t>2</t>
        </is>
      </c>
    </row>
    <row r="193" ht="15.75" customHeight="1" s="9">
      <c r="A193" s="3" t="n">
        <v>2</v>
      </c>
      <c r="B193" s="3" t="inlineStr">
        <is>
          <t>火车站</t>
        </is>
      </c>
      <c r="C193" s="3" t="inlineStr">
        <is>
          <t>huǒ chē zhàn</t>
        </is>
      </c>
      <c r="D193" s="4" t="inlineStr">
        <is>
          <t>train station</t>
        </is>
      </c>
      <c r="E193" s="3" t="inlineStr">
        <is>
          <t>火 huǒ (H+UO) · 车 chē (CH+E) · 站 zhàn (ZH+AN)</t>
        </is>
      </c>
      <c r="F193" s="3" t="inlineStr">
        <is>
          <t>3-1-4</t>
        </is>
      </c>
    </row>
    <row r="194" ht="15.75" customHeight="1" s="9">
      <c r="A194" s="3" t="n">
        <v>2</v>
      </c>
      <c r="B194" s="3" t="inlineStr">
        <is>
          <t>机场</t>
        </is>
      </c>
      <c r="C194" s="3" t="inlineStr">
        <is>
          <t>jī chǎng</t>
        </is>
      </c>
      <c r="D194" s="4" t="inlineStr">
        <is>
          <t>airport</t>
        </is>
      </c>
      <c r="E194" s="3" t="inlineStr">
        <is>
          <t>机 jī (J+I) · 场 chǎng (CH+ANG)</t>
        </is>
      </c>
      <c r="F194" s="3" t="inlineStr">
        <is>
          <t>1-3</t>
        </is>
      </c>
    </row>
    <row r="195" ht="15.75" customHeight="1" s="9">
      <c r="A195" s="3" t="n">
        <v>2</v>
      </c>
      <c r="B195" s="3" t="inlineStr">
        <is>
          <t>鸡蛋</t>
        </is>
      </c>
      <c r="C195" s="3" t="inlineStr">
        <is>
          <t>jī dàn</t>
        </is>
      </c>
      <c r="D195" s="4" t="inlineStr">
        <is>
          <t>egg</t>
        </is>
      </c>
      <c r="E195" s="3" t="inlineStr">
        <is>
          <t>鸡 jī (J+I) · 蛋 dàn (D+AN)</t>
        </is>
      </c>
      <c r="F195" s="3" t="inlineStr">
        <is>
          <t>1-4</t>
        </is>
      </c>
    </row>
    <row r="196" ht="15.75" customHeight="1" s="9">
      <c r="A196" s="3" t="n">
        <v>2</v>
      </c>
      <c r="B196" s="3" t="inlineStr">
        <is>
          <t>件</t>
        </is>
      </c>
      <c r="C196" s="3" t="inlineStr">
        <is>
          <t>jiàn</t>
        </is>
      </c>
      <c r="D196" s="4" t="inlineStr">
        <is>
          <t>measure word for clothes/items</t>
        </is>
      </c>
      <c r="E196" s="3" t="inlineStr">
        <is>
          <t>件 jiàn (J+IAN)</t>
        </is>
      </c>
      <c r="F196" s="3" t="inlineStr">
        <is>
          <t>4</t>
        </is>
      </c>
    </row>
    <row r="197" ht="15.75" customHeight="1" s="9">
      <c r="A197" s="3" t="n">
        <v>2</v>
      </c>
      <c r="B197" s="3" t="inlineStr">
        <is>
          <t>教室</t>
        </is>
      </c>
      <c r="C197" s="3" t="inlineStr">
        <is>
          <t>jiào shì</t>
        </is>
      </c>
      <c r="D197" s="4" t="inlineStr">
        <is>
          <t>classroom</t>
        </is>
      </c>
      <c r="E197" s="3" t="inlineStr">
        <is>
          <t>教 jiào (J+IAO) · 室 shì (SH+Ø (no final))</t>
        </is>
      </c>
      <c r="F197" s="3" t="inlineStr">
        <is>
          <t>4-4</t>
        </is>
      </c>
    </row>
    <row r="198" ht="15.75" customHeight="1" s="9">
      <c r="A198" s="3" t="n">
        <v>2</v>
      </c>
      <c r="B198" s="3" t="inlineStr">
        <is>
          <t>姐姐</t>
        </is>
      </c>
      <c r="C198" s="3" t="inlineStr">
        <is>
          <t>jiě jie</t>
        </is>
      </c>
      <c r="D198" s="4" t="inlineStr">
        <is>
          <t>older sister</t>
        </is>
      </c>
      <c r="E198" s="3" t="inlineStr">
        <is>
          <t>姐 jiě (J+IE) · 姐 jie (J+IE)</t>
        </is>
      </c>
      <c r="F198" s="3" t="inlineStr">
        <is>
          <t>3-5</t>
        </is>
      </c>
    </row>
    <row r="199" ht="15.75" customHeight="1" s="9">
      <c r="A199" s="3" t="n">
        <v>2</v>
      </c>
      <c r="B199" s="3" t="inlineStr">
        <is>
          <t>介绍</t>
        </is>
      </c>
      <c r="C199" s="3" t="inlineStr">
        <is>
          <t>jiè shào</t>
        </is>
      </c>
      <c r="D199" s="4" t="inlineStr">
        <is>
          <t>introduce</t>
        </is>
      </c>
      <c r="E199" s="3" t="inlineStr">
        <is>
          <t>介 jiè (J+IE) · 绍 shào (SH+AO)</t>
        </is>
      </c>
      <c r="F199" s="3" t="inlineStr">
        <is>
          <t>4-4</t>
        </is>
      </c>
    </row>
    <row r="200" ht="15.75" customHeight="1" s="9">
      <c r="A200" s="3" t="n">
        <v>2</v>
      </c>
      <c r="B200" s="3" t="inlineStr">
        <is>
          <t>近</t>
        </is>
      </c>
      <c r="C200" s="3" t="inlineStr">
        <is>
          <t>jìn</t>
        </is>
      </c>
      <c r="D200" s="4" t="inlineStr">
        <is>
          <t>near</t>
        </is>
      </c>
      <c r="E200" s="3" t="inlineStr">
        <is>
          <t>近 jìn (J+IN)</t>
        </is>
      </c>
      <c r="F200" s="3" t="inlineStr">
        <is>
          <t>4</t>
        </is>
      </c>
    </row>
    <row r="201" ht="15.75" customHeight="1" s="9">
      <c r="A201" s="3" t="n">
        <v>2</v>
      </c>
      <c r="B201" s="3" t="inlineStr">
        <is>
          <t>进</t>
        </is>
      </c>
      <c r="C201" s="3" t="inlineStr">
        <is>
          <t>jìn</t>
        </is>
      </c>
      <c r="D201" s="4" t="inlineStr">
        <is>
          <t>enter</t>
        </is>
      </c>
      <c r="E201" s="3" t="inlineStr">
        <is>
          <t>进 jìn (J+IN)</t>
        </is>
      </c>
      <c r="F201" s="3" t="inlineStr">
        <is>
          <t>4</t>
        </is>
      </c>
    </row>
    <row r="202" ht="15.75" customHeight="1" s="9">
      <c r="A202" s="3" t="n">
        <v>2</v>
      </c>
      <c r="B202" s="3" t="inlineStr">
        <is>
          <t>就</t>
        </is>
      </c>
      <c r="C202" s="3" t="inlineStr">
        <is>
          <t>jiù</t>
        </is>
      </c>
      <c r="D202" s="4" t="inlineStr">
        <is>
          <t>then; just</t>
        </is>
      </c>
      <c r="E202" s="3" t="inlineStr">
        <is>
          <t>就 jiù (J+IU)</t>
        </is>
      </c>
      <c r="F202" s="3" t="inlineStr">
        <is>
          <t>4</t>
        </is>
      </c>
    </row>
    <row r="203" ht="15.75" customHeight="1" s="9">
      <c r="A203" s="3" t="n">
        <v>2</v>
      </c>
      <c r="B203" s="3" t="inlineStr">
        <is>
          <t>觉得</t>
        </is>
      </c>
      <c r="C203" s="3" t="inlineStr">
        <is>
          <t>jué de</t>
        </is>
      </c>
      <c r="D203" s="4" t="inlineStr">
        <is>
          <t>feel; think</t>
        </is>
      </c>
      <c r="E203" s="3" t="inlineStr">
        <is>
          <t>觉 jué (J+UE) · 得 de (D+E)</t>
        </is>
      </c>
      <c r="F203" s="3" t="inlineStr">
        <is>
          <t>2-5</t>
        </is>
      </c>
    </row>
    <row r="204" ht="15.75" customHeight="1" s="9">
      <c r="A204" s="3" t="n">
        <v>2</v>
      </c>
      <c r="B204" s="3" t="inlineStr">
        <is>
          <t>咖啡</t>
        </is>
      </c>
      <c r="C204" s="3" t="inlineStr">
        <is>
          <t>kā fēi</t>
        </is>
      </c>
      <c r="D204" s="4" t="inlineStr">
        <is>
          <t>coffee</t>
        </is>
      </c>
      <c r="E204" s="3" t="inlineStr">
        <is>
          <t>咖 kā (K+A) · 啡 fēi (F+EI)</t>
        </is>
      </c>
      <c r="F204" s="3" t="inlineStr">
        <is>
          <t>1-1</t>
        </is>
      </c>
    </row>
    <row r="205" ht="15.75" customHeight="1" s="9">
      <c r="A205" s="3" t="n">
        <v>2</v>
      </c>
      <c r="B205" s="3" t="inlineStr">
        <is>
          <t>开始</t>
        </is>
      </c>
      <c r="C205" s="3" t="inlineStr">
        <is>
          <t>kāi shǐ</t>
        </is>
      </c>
      <c r="D205" s="4" t="inlineStr">
        <is>
          <t>start; begin</t>
        </is>
      </c>
      <c r="E205" s="3" t="inlineStr">
        <is>
          <t>开 kāi (K+AI) · 始 shǐ (SH+Ø (no final))</t>
        </is>
      </c>
      <c r="F205" s="3" t="inlineStr">
        <is>
          <t>1-3</t>
        </is>
      </c>
    </row>
    <row r="206" ht="15.75" customHeight="1" s="9">
      <c r="A206" s="3" t="n">
        <v>2</v>
      </c>
      <c r="B206" s="3" t="inlineStr">
        <is>
          <t>考试</t>
        </is>
      </c>
      <c r="C206" s="3" t="inlineStr">
        <is>
          <t>kǎo shì</t>
        </is>
      </c>
      <c r="D206" s="4" t="inlineStr">
        <is>
          <t>exam</t>
        </is>
      </c>
      <c r="E206" s="3" t="inlineStr">
        <is>
          <t>考 kǎo (K+AO) · 试 shì (SH+Ø (no final))</t>
        </is>
      </c>
      <c r="F206" s="3" t="inlineStr">
        <is>
          <t>3-4</t>
        </is>
      </c>
    </row>
    <row r="207" ht="15.75" customHeight="1" s="9">
      <c r="A207" s="3" t="n">
        <v>2</v>
      </c>
      <c r="B207" s="3" t="inlineStr">
        <is>
          <t>可能</t>
        </is>
      </c>
      <c r="C207" s="3" t="inlineStr">
        <is>
          <t>kě néng</t>
        </is>
      </c>
      <c r="D207" s="4" t="inlineStr">
        <is>
          <t>possible; maybe</t>
        </is>
      </c>
      <c r="E207" s="3" t="inlineStr">
        <is>
          <t>可 kě (K+E) · 能 néng (N+(E)NG)</t>
        </is>
      </c>
      <c r="F207" s="3" t="inlineStr">
        <is>
          <t>3-2</t>
        </is>
      </c>
    </row>
    <row r="208" ht="15.75" customHeight="1" s="9">
      <c r="A208" s="3" t="n">
        <v>2</v>
      </c>
      <c r="B208" s="3" t="inlineStr">
        <is>
          <t>可以</t>
        </is>
      </c>
      <c r="C208" s="3" t="inlineStr">
        <is>
          <t>kě yǐ</t>
        </is>
      </c>
      <c r="D208" s="4" t="inlineStr">
        <is>
          <t>can; may</t>
        </is>
      </c>
      <c r="E208" s="3" t="inlineStr">
        <is>
          <t>可 kě (K+E) · 以 yǐ (Y+I)</t>
        </is>
      </c>
      <c r="F208" s="3" t="inlineStr">
        <is>
          <t>3-3</t>
        </is>
      </c>
    </row>
    <row r="209" ht="15.75" customHeight="1" s="9">
      <c r="A209" s="3" t="n">
        <v>2</v>
      </c>
      <c r="B209" s="3" t="inlineStr">
        <is>
          <t>课</t>
        </is>
      </c>
      <c r="C209" s="3" t="inlineStr">
        <is>
          <t>kè</t>
        </is>
      </c>
      <c r="D209" s="4" t="inlineStr">
        <is>
          <t>lesson; class</t>
        </is>
      </c>
      <c r="E209" s="3" t="inlineStr">
        <is>
          <t>课 kè (K+E)</t>
        </is>
      </c>
      <c r="F209" s="3" t="inlineStr">
        <is>
          <t>4</t>
        </is>
      </c>
    </row>
    <row r="210" ht="15.75" customHeight="1" s="9">
      <c r="A210" s="3" t="n">
        <v>2</v>
      </c>
      <c r="B210" s="3" t="inlineStr">
        <is>
          <t>快</t>
        </is>
      </c>
      <c r="C210" s="3" t="inlineStr">
        <is>
          <t>kuài</t>
        </is>
      </c>
      <c r="D210" s="4" t="inlineStr">
        <is>
          <t>fast; soon</t>
        </is>
      </c>
      <c r="E210" s="3" t="inlineStr">
        <is>
          <t>快 kuài (K+UAI)</t>
        </is>
      </c>
      <c r="F210" s="3" t="inlineStr">
        <is>
          <t>4</t>
        </is>
      </c>
    </row>
    <row r="211" ht="15.75" customHeight="1" s="9">
      <c r="A211" s="3" t="n">
        <v>2</v>
      </c>
      <c r="B211" s="3" t="inlineStr">
        <is>
          <t>快乐</t>
        </is>
      </c>
      <c r="C211" s="3" t="inlineStr">
        <is>
          <t>kuài lè</t>
        </is>
      </c>
      <c r="D211" s="4" t="inlineStr">
        <is>
          <t>happy</t>
        </is>
      </c>
      <c r="E211" s="3" t="inlineStr">
        <is>
          <t>快 kuài (K+UAI) · 乐 lè (L+E)</t>
        </is>
      </c>
      <c r="F211" s="3" t="inlineStr">
        <is>
          <t>4-4</t>
        </is>
      </c>
    </row>
    <row r="212" ht="15.75" customHeight="1" s="9">
      <c r="A212" s="3" t="n">
        <v>2</v>
      </c>
      <c r="B212" s="3" t="inlineStr">
        <is>
          <t>累</t>
        </is>
      </c>
      <c r="C212" s="3" t="inlineStr">
        <is>
          <t>lèi</t>
        </is>
      </c>
      <c r="D212" s="4" t="inlineStr">
        <is>
          <t>tired</t>
        </is>
      </c>
      <c r="E212" s="3" t="inlineStr">
        <is>
          <t>累 lèi (L+EI)</t>
        </is>
      </c>
      <c r="F212" s="3" t="inlineStr">
        <is>
          <t>4</t>
        </is>
      </c>
    </row>
    <row r="213" ht="15.75" customHeight="1" s="9">
      <c r="A213" s="3" t="n">
        <v>2</v>
      </c>
      <c r="B213" s="3" t="inlineStr">
        <is>
          <t>离</t>
        </is>
      </c>
      <c r="C213" s="3" t="inlineStr">
        <is>
          <t>lí</t>
        </is>
      </c>
      <c r="D213" s="4" t="inlineStr">
        <is>
          <t>away from</t>
        </is>
      </c>
      <c r="E213" s="3" t="inlineStr">
        <is>
          <t>离 lí (L+I)</t>
        </is>
      </c>
      <c r="F213" s="3" t="inlineStr">
        <is>
          <t>2</t>
        </is>
      </c>
    </row>
    <row r="214" ht="15.75" customHeight="1" s="9">
      <c r="A214" s="3" t="n">
        <v>2</v>
      </c>
      <c r="B214" s="3" t="inlineStr">
        <is>
          <t>两</t>
        </is>
      </c>
      <c r="C214" s="3" t="inlineStr">
        <is>
          <t>liǎng</t>
        </is>
      </c>
      <c r="D214" s="4" t="inlineStr">
        <is>
          <t>two</t>
        </is>
      </c>
      <c r="E214" s="3" t="inlineStr">
        <is>
          <t>两 liǎng (L+IANG)</t>
        </is>
      </c>
      <c r="F214" s="3" t="inlineStr">
        <is>
          <t>3</t>
        </is>
      </c>
    </row>
    <row r="215" ht="15.75" customHeight="1" s="9">
      <c r="A215" s="3" t="n">
        <v>2</v>
      </c>
      <c r="B215" s="3" t="inlineStr">
        <is>
          <t>零</t>
        </is>
      </c>
      <c r="C215" s="3" t="inlineStr">
        <is>
          <t>líng</t>
        </is>
      </c>
      <c r="D215" s="4" t="inlineStr">
        <is>
          <t>zero</t>
        </is>
      </c>
      <c r="E215" s="3" t="inlineStr">
        <is>
          <t>零 líng (L+ING)</t>
        </is>
      </c>
      <c r="F215" s="3" t="inlineStr">
        <is>
          <t>2</t>
        </is>
      </c>
    </row>
    <row r="216" ht="15.75" customHeight="1" s="9">
      <c r="A216" s="3" t="n">
        <v>2</v>
      </c>
      <c r="B216" s="3" t="inlineStr">
        <is>
          <t>路</t>
        </is>
      </c>
      <c r="C216" s="3" t="inlineStr">
        <is>
          <t>lù</t>
        </is>
      </c>
      <c r="D216" s="4" t="inlineStr">
        <is>
          <t>road</t>
        </is>
      </c>
      <c r="E216" s="3" t="inlineStr">
        <is>
          <t>路 lù (L+U)</t>
        </is>
      </c>
      <c r="F216" s="3" t="inlineStr">
        <is>
          <t>4</t>
        </is>
      </c>
    </row>
    <row r="217" ht="15.75" customHeight="1" s="9">
      <c r="A217" s="3" t="n">
        <v>2</v>
      </c>
      <c r="B217" s="3" t="inlineStr">
        <is>
          <t>旅游</t>
        </is>
      </c>
      <c r="C217" s="3" t="inlineStr">
        <is>
          <t>lǚ yóu</t>
        </is>
      </c>
      <c r="D217" s="4" t="inlineStr">
        <is>
          <t>travel</t>
        </is>
      </c>
      <c r="E217" s="3" t="inlineStr">
        <is>
          <t>旅 lǚ (L+Ü) · 游 yóu (Y+OU)</t>
        </is>
      </c>
      <c r="F217" s="3" t="inlineStr">
        <is>
          <t>3-2</t>
        </is>
      </c>
    </row>
    <row r="218" ht="15.75" customHeight="1" s="9">
      <c r="A218" s="3" t="n">
        <v>2</v>
      </c>
      <c r="B218" s="3" t="inlineStr">
        <is>
          <t>卖</t>
        </is>
      </c>
      <c r="C218" s="3" t="inlineStr">
        <is>
          <t>mài</t>
        </is>
      </c>
      <c r="D218" s="4" t="inlineStr">
        <is>
          <t>sell</t>
        </is>
      </c>
      <c r="E218" s="3" t="inlineStr">
        <is>
          <t>卖 mài (M+AI)</t>
        </is>
      </c>
      <c r="F218" s="3" t="inlineStr">
        <is>
          <t>4</t>
        </is>
      </c>
    </row>
    <row r="219" ht="15.75" customHeight="1" s="9">
      <c r="A219" s="3" t="n">
        <v>2</v>
      </c>
      <c r="B219" s="3" t="inlineStr">
        <is>
          <t>慢</t>
        </is>
      </c>
      <c r="C219" s="3" t="inlineStr">
        <is>
          <t>màn</t>
        </is>
      </c>
      <c r="D219" s="4" t="inlineStr">
        <is>
          <t>slow</t>
        </is>
      </c>
      <c r="E219" s="3" t="inlineStr">
        <is>
          <t>慢 màn (M+AN)</t>
        </is>
      </c>
      <c r="F219" s="3" t="inlineStr">
        <is>
          <t>4</t>
        </is>
      </c>
    </row>
    <row r="220" ht="15.75" customHeight="1" s="9">
      <c r="A220" s="3" t="n">
        <v>2</v>
      </c>
      <c r="B220" s="3" t="inlineStr">
        <is>
          <t>忙</t>
        </is>
      </c>
      <c r="C220" s="3" t="inlineStr">
        <is>
          <t>máng</t>
        </is>
      </c>
      <c r="D220" s="4" t="inlineStr">
        <is>
          <t>busy</t>
        </is>
      </c>
      <c r="E220" s="3" t="inlineStr">
        <is>
          <t>忙 máng (M+ANG)</t>
        </is>
      </c>
      <c r="F220" s="3" t="inlineStr">
        <is>
          <t>2</t>
        </is>
      </c>
    </row>
    <row r="221" ht="15.75" customHeight="1" s="9">
      <c r="A221" s="3" t="n">
        <v>2</v>
      </c>
      <c r="B221" s="3" t="inlineStr">
        <is>
          <t>每</t>
        </is>
      </c>
      <c r="C221" s="3" t="inlineStr">
        <is>
          <t>měi</t>
        </is>
      </c>
      <c r="D221" s="4" t="inlineStr">
        <is>
          <t>every</t>
        </is>
      </c>
      <c r="E221" s="3" t="inlineStr">
        <is>
          <t>每 měi (M+EI)</t>
        </is>
      </c>
      <c r="F221" s="3" t="inlineStr">
        <is>
          <t>3</t>
        </is>
      </c>
    </row>
    <row r="222" ht="15.75" customHeight="1" s="9">
      <c r="A222" s="3" t="n">
        <v>2</v>
      </c>
      <c r="B222" s="3" t="inlineStr">
        <is>
          <t>妹妹</t>
        </is>
      </c>
      <c r="C222" s="3" t="inlineStr">
        <is>
          <t>mèi mei</t>
        </is>
      </c>
      <c r="D222" s="4" t="inlineStr">
        <is>
          <t>younger sister</t>
        </is>
      </c>
      <c r="E222" s="3" t="inlineStr">
        <is>
          <t>妹 mèi (M+EI) · 妹 mei (M+EI)</t>
        </is>
      </c>
      <c r="F222" s="3" t="inlineStr">
        <is>
          <t>4-5</t>
        </is>
      </c>
    </row>
    <row r="223" ht="15.75" customHeight="1" s="9">
      <c r="A223" s="3" t="n">
        <v>2</v>
      </c>
      <c r="B223" s="3" t="inlineStr">
        <is>
          <t>门</t>
        </is>
      </c>
      <c r="C223" s="3" t="inlineStr">
        <is>
          <t>mén</t>
        </is>
      </c>
      <c r="D223" s="4" t="inlineStr">
        <is>
          <t>door</t>
        </is>
      </c>
      <c r="E223" s="3" t="inlineStr">
        <is>
          <t>门 mén (M+(E)N)</t>
        </is>
      </c>
      <c r="F223" s="3" t="inlineStr">
        <is>
          <t>2</t>
        </is>
      </c>
    </row>
    <row r="224" ht="15.75" customHeight="1" s="9">
      <c r="A224" s="3" t="n">
        <v>2</v>
      </c>
      <c r="B224" s="3" t="inlineStr">
        <is>
          <t>面条</t>
        </is>
      </c>
      <c r="C224" s="3" t="inlineStr">
        <is>
          <t>miàn tiáo</t>
        </is>
      </c>
      <c r="D224" s="4" t="inlineStr">
        <is>
          <t>noodles</t>
        </is>
      </c>
      <c r="E224" s="3" t="inlineStr">
        <is>
          <t>面 miàn (M+IAN) · 条 tiáo (T+IAO)</t>
        </is>
      </c>
      <c r="F224" s="3" t="inlineStr">
        <is>
          <t>4-2</t>
        </is>
      </c>
    </row>
    <row r="225" ht="15.75" customHeight="1" s="9">
      <c r="A225" s="3" t="n">
        <v>2</v>
      </c>
      <c r="B225" s="3" t="inlineStr">
        <is>
          <t>男</t>
        </is>
      </c>
      <c r="C225" s="3" t="inlineStr">
        <is>
          <t>nán</t>
        </is>
      </c>
      <c r="D225" s="4" t="inlineStr">
        <is>
          <t>male</t>
        </is>
      </c>
      <c r="E225" s="3" t="inlineStr">
        <is>
          <t>男 nán (N+AN)</t>
        </is>
      </c>
      <c r="F225" s="3" t="inlineStr">
        <is>
          <t>2</t>
        </is>
      </c>
    </row>
    <row r="226" ht="15.75" customHeight="1" s="9">
      <c r="A226" s="3" t="n">
        <v>2</v>
      </c>
      <c r="B226" s="3" t="inlineStr">
        <is>
          <t>您</t>
        </is>
      </c>
      <c r="C226" s="3" t="inlineStr">
        <is>
          <t>nín</t>
        </is>
      </c>
      <c r="D226" s="4" t="inlineStr">
        <is>
          <t>you (polite)</t>
        </is>
      </c>
      <c r="E226" s="3" t="inlineStr">
        <is>
          <t>您 nín (N+IN)</t>
        </is>
      </c>
      <c r="F226" s="3" t="inlineStr">
        <is>
          <t>2</t>
        </is>
      </c>
    </row>
    <row r="227" ht="15.75" customHeight="1" s="9">
      <c r="A227" s="3" t="n">
        <v>2</v>
      </c>
      <c r="B227" s="3" t="inlineStr">
        <is>
          <t>牛奶</t>
        </is>
      </c>
      <c r="C227" s="3" t="inlineStr">
        <is>
          <t>niú nǎi</t>
        </is>
      </c>
      <c r="D227" s="4" t="inlineStr">
        <is>
          <t>milk</t>
        </is>
      </c>
      <c r="E227" s="3" t="inlineStr">
        <is>
          <t>牛 niú (N+IU) · 奶 nǎi (N+AI)</t>
        </is>
      </c>
      <c r="F227" s="3" t="inlineStr">
        <is>
          <t>2-3</t>
        </is>
      </c>
    </row>
    <row r="228" ht="15.75" customHeight="1" s="9">
      <c r="A228" s="3" t="n">
        <v>2</v>
      </c>
      <c r="B228" s="3" t="inlineStr">
        <is>
          <t>女</t>
        </is>
      </c>
      <c r="C228" s="3" t="inlineStr">
        <is>
          <t>nǚ</t>
        </is>
      </c>
      <c r="D228" s="4" t="inlineStr">
        <is>
          <t>female</t>
        </is>
      </c>
      <c r="E228" s="3" t="inlineStr">
        <is>
          <t>女 nǚ (N+Ü)</t>
        </is>
      </c>
      <c r="F228" s="3" t="inlineStr">
        <is>
          <t>3</t>
        </is>
      </c>
    </row>
    <row r="229" ht="15.75" customHeight="1" s="9">
      <c r="A229" s="3" t="n">
        <v>2</v>
      </c>
      <c r="B229" s="3" t="inlineStr">
        <is>
          <t>旁边</t>
        </is>
      </c>
      <c r="C229" s="3" t="inlineStr">
        <is>
          <t>páng biān</t>
        </is>
      </c>
      <c r="D229" s="4" t="inlineStr">
        <is>
          <t>beside; side</t>
        </is>
      </c>
      <c r="E229" s="3" t="inlineStr">
        <is>
          <t>旁 páng (P+ANG) · 边 biān (B+IAN)</t>
        </is>
      </c>
      <c r="F229" s="3" t="inlineStr">
        <is>
          <t>2-1</t>
        </is>
      </c>
    </row>
    <row r="230" ht="15.75" customHeight="1" s="9">
      <c r="A230" s="3" t="n">
        <v>2</v>
      </c>
      <c r="B230" s="3" t="inlineStr">
        <is>
          <t>跑步</t>
        </is>
      </c>
      <c r="C230" s="3" t="inlineStr">
        <is>
          <t>pǎo bù</t>
        </is>
      </c>
      <c r="D230" s="4" t="inlineStr">
        <is>
          <t>run</t>
        </is>
      </c>
      <c r="E230" s="3" t="inlineStr">
        <is>
          <t>跑 pǎo (P+AO) · 步 bù (B+U)</t>
        </is>
      </c>
      <c r="F230" s="3" t="inlineStr">
        <is>
          <t>3-4</t>
        </is>
      </c>
    </row>
    <row r="231" ht="15.75" customHeight="1" s="9">
      <c r="A231" s="3" t="n">
        <v>2</v>
      </c>
      <c r="B231" s="3" t="inlineStr">
        <is>
          <t>便宜</t>
        </is>
      </c>
      <c r="C231" s="3" t="inlineStr">
        <is>
          <t>pián yi</t>
        </is>
      </c>
      <c r="D231" s="4" t="inlineStr">
        <is>
          <t>cheap</t>
        </is>
      </c>
      <c r="E231" s="3" t="inlineStr">
        <is>
          <t>便 pián (P+IAN) · 宜 yi (Y+I)</t>
        </is>
      </c>
      <c r="F231" s="3" t="inlineStr">
        <is>
          <t>2-5</t>
        </is>
      </c>
    </row>
    <row r="232" ht="15.75" customHeight="1" s="9">
      <c r="A232" s="3" t="n">
        <v>2</v>
      </c>
      <c r="B232" s="3" t="inlineStr">
        <is>
          <t>票</t>
        </is>
      </c>
      <c r="C232" s="3" t="inlineStr">
        <is>
          <t>piào</t>
        </is>
      </c>
      <c r="D232" s="4" t="inlineStr">
        <is>
          <t>ticket</t>
        </is>
      </c>
      <c r="E232" s="3" t="inlineStr">
        <is>
          <t>票 piào (P+IAO)</t>
        </is>
      </c>
      <c r="F232" s="3" t="inlineStr">
        <is>
          <t>4</t>
        </is>
      </c>
    </row>
    <row r="233" ht="15.75" customHeight="1" s="9">
      <c r="A233" s="3" t="n">
        <v>2</v>
      </c>
      <c r="B233" s="3" t="inlineStr">
        <is>
          <t>妻子</t>
        </is>
      </c>
      <c r="C233" s="3" t="inlineStr">
        <is>
          <t>qī zi</t>
        </is>
      </c>
      <c r="D233" s="4" t="inlineStr">
        <is>
          <t>wife</t>
        </is>
      </c>
      <c r="E233" s="3" t="inlineStr">
        <is>
          <t>妻 qī (Q+I) · 子 zi (Z+Ø (no final))</t>
        </is>
      </c>
      <c r="F233" s="3" t="inlineStr">
        <is>
          <t>1-5</t>
        </is>
      </c>
    </row>
    <row r="234" ht="15.75" customHeight="1" s="9">
      <c r="A234" s="3" t="n">
        <v>2</v>
      </c>
      <c r="B234" s="3" t="inlineStr">
        <is>
          <t>起床</t>
        </is>
      </c>
      <c r="C234" s="3" t="inlineStr">
        <is>
          <t>qǐ chuáng</t>
        </is>
      </c>
      <c r="D234" s="4" t="inlineStr">
        <is>
          <t>get up</t>
        </is>
      </c>
      <c r="E234" s="3" t="inlineStr">
        <is>
          <t>起 qǐ (Q+I) · 床 chuáng (CH+UANG)</t>
        </is>
      </c>
      <c r="F234" s="3" t="inlineStr">
        <is>
          <t>3-2</t>
        </is>
      </c>
    </row>
    <row r="235" ht="15.75" customHeight="1" s="9">
      <c r="A235" s="3" t="n">
        <v>2</v>
      </c>
      <c r="B235" s="3" t="inlineStr">
        <is>
          <t>千</t>
        </is>
      </c>
      <c r="C235" s="3" t="inlineStr">
        <is>
          <t>qiān</t>
        </is>
      </c>
      <c r="D235" s="4" t="inlineStr">
        <is>
          <t>thousand</t>
        </is>
      </c>
      <c r="E235" s="3" t="inlineStr">
        <is>
          <t>千 qiān (Q+IAN)</t>
        </is>
      </c>
      <c r="F235" s="3" t="inlineStr">
        <is>
          <t>1</t>
        </is>
      </c>
    </row>
    <row r="236" ht="15.75" customHeight="1" s="9">
      <c r="A236" s="3" t="n">
        <v>2</v>
      </c>
      <c r="B236" s="3" t="inlineStr">
        <is>
          <t>铅笔</t>
        </is>
      </c>
      <c r="C236" s="3" t="inlineStr">
        <is>
          <t>qiān bǐ</t>
        </is>
      </c>
      <c r="D236" s="4" t="inlineStr">
        <is>
          <t>pencil</t>
        </is>
      </c>
      <c r="E236" s="3" t="inlineStr">
        <is>
          <t>铅 qiān (Q+IAN) · 笔 bǐ (B+I)</t>
        </is>
      </c>
      <c r="F236" s="3" t="inlineStr">
        <is>
          <t>1-3</t>
        </is>
      </c>
    </row>
    <row r="237" ht="15.75" customHeight="1" s="9">
      <c r="A237" s="3" t="n">
        <v>2</v>
      </c>
      <c r="B237" s="3" t="inlineStr">
        <is>
          <t>晴</t>
        </is>
      </c>
      <c r="C237" s="3" t="inlineStr">
        <is>
          <t>qíng</t>
        </is>
      </c>
      <c r="D237" s="4" t="inlineStr">
        <is>
          <t>clear; sunny</t>
        </is>
      </c>
      <c r="E237" s="3" t="inlineStr">
        <is>
          <t>晴 qíng (Q+ING)</t>
        </is>
      </c>
      <c r="F237" s="3" t="inlineStr">
        <is>
          <t>2</t>
        </is>
      </c>
    </row>
    <row r="238" ht="15.75" customHeight="1" s="9">
      <c r="A238" s="3" t="n">
        <v>2</v>
      </c>
      <c r="B238" s="3" t="inlineStr">
        <is>
          <t>去年</t>
        </is>
      </c>
      <c r="C238" s="3" t="inlineStr">
        <is>
          <t>qù nián</t>
        </is>
      </c>
      <c r="D238" s="4" t="inlineStr">
        <is>
          <t>last year</t>
        </is>
      </c>
      <c r="E238" s="3" t="inlineStr">
        <is>
          <t>去 qù (Q+U) · 年 nián (N+IAN)</t>
        </is>
      </c>
      <c r="F238" s="3" t="inlineStr">
        <is>
          <t>4-2</t>
        </is>
      </c>
    </row>
    <row r="239" ht="15.75" customHeight="1" s="9">
      <c r="A239" s="3" t="n">
        <v>2</v>
      </c>
      <c r="B239" s="3" t="inlineStr">
        <is>
          <t>让</t>
        </is>
      </c>
      <c r="C239" s="3" t="inlineStr">
        <is>
          <t>ràng</t>
        </is>
      </c>
      <c r="D239" s="4" t="inlineStr">
        <is>
          <t>let; allow</t>
        </is>
      </c>
      <c r="E239" s="3" t="inlineStr">
        <is>
          <t>让 ràng (R+ANG)</t>
        </is>
      </c>
      <c r="F239" s="3" t="inlineStr">
        <is>
          <t>4</t>
        </is>
      </c>
    </row>
    <row r="240" ht="15.75" customHeight="1" s="9">
      <c r="A240" s="3" t="n">
        <v>2</v>
      </c>
      <c r="B240" s="3" t="inlineStr">
        <is>
          <t>日</t>
        </is>
      </c>
      <c r="C240" s="3" t="inlineStr">
        <is>
          <t>rì</t>
        </is>
      </c>
      <c r="D240" s="4" t="inlineStr">
        <is>
          <t>day; date</t>
        </is>
      </c>
      <c r="E240" s="3" t="inlineStr">
        <is>
          <t>日 rì (R+Ø (no final))</t>
        </is>
      </c>
      <c r="F240" s="3" t="inlineStr">
        <is>
          <t>4</t>
        </is>
      </c>
    </row>
    <row r="241" ht="15.75" customHeight="1" s="9">
      <c r="A241" s="3" t="n">
        <v>2</v>
      </c>
      <c r="B241" s="3" t="inlineStr">
        <is>
          <t>上班</t>
        </is>
      </c>
      <c r="C241" s="3" t="inlineStr">
        <is>
          <t>shàng bān</t>
        </is>
      </c>
      <c r="D241" s="4" t="inlineStr">
        <is>
          <t>go to work</t>
        </is>
      </c>
      <c r="E241" s="3" t="inlineStr">
        <is>
          <t>上 shàng (SH+ANG) · 班 bān (B+AN)</t>
        </is>
      </c>
      <c r="F241" s="3" t="inlineStr">
        <is>
          <t>4-1</t>
        </is>
      </c>
    </row>
    <row r="242" ht="15.75" customHeight="1" s="9">
      <c r="A242" s="3" t="n">
        <v>2</v>
      </c>
      <c r="B242" s="3" t="inlineStr">
        <is>
          <t>身体</t>
        </is>
      </c>
      <c r="C242" s="3" t="inlineStr">
        <is>
          <t>shēn tǐ</t>
        </is>
      </c>
      <c r="D242" s="4" t="inlineStr">
        <is>
          <t>body; health</t>
        </is>
      </c>
      <c r="E242" s="3" t="inlineStr">
        <is>
          <t>身 shēn (SH+(E)N) · 体 tǐ (T+I)</t>
        </is>
      </c>
      <c r="F242" s="3" t="inlineStr">
        <is>
          <t>1-3</t>
        </is>
      </c>
    </row>
    <row r="243" ht="15.75" customHeight="1" s="9">
      <c r="A243" s="3" t="n">
        <v>2</v>
      </c>
      <c r="B243" s="3" t="inlineStr">
        <is>
          <t>生病</t>
        </is>
      </c>
      <c r="C243" s="3" t="inlineStr">
        <is>
          <t>shēng bìng</t>
        </is>
      </c>
      <c r="D243" s="4" t="inlineStr">
        <is>
          <t>get sick</t>
        </is>
      </c>
      <c r="E243" s="3" t="inlineStr">
        <is>
          <t>生 shēng (SH+(E)NG) · 病 bìng (B+ING)</t>
        </is>
      </c>
      <c r="F243" s="3" t="inlineStr">
        <is>
          <t>1-4</t>
        </is>
      </c>
    </row>
    <row r="244" ht="15.75" customHeight="1" s="9">
      <c r="A244" s="3" t="n">
        <v>2</v>
      </c>
      <c r="B244" s="3" t="inlineStr">
        <is>
          <t>生日</t>
        </is>
      </c>
      <c r="C244" s="3" t="inlineStr">
        <is>
          <t>shēng rì</t>
        </is>
      </c>
      <c r="D244" s="4" t="inlineStr">
        <is>
          <t>birthday</t>
        </is>
      </c>
      <c r="E244" s="3" t="inlineStr">
        <is>
          <t>生 shēng (SH+(E)NG) · 日 rì (R+Ø (no final))</t>
        </is>
      </c>
      <c r="F244" s="3" t="inlineStr">
        <is>
          <t>1-4</t>
        </is>
      </c>
    </row>
    <row r="245" ht="15.75" customHeight="1" s="9">
      <c r="A245" s="3" t="n">
        <v>2</v>
      </c>
      <c r="B245" s="3" t="inlineStr">
        <is>
          <t>时间</t>
        </is>
      </c>
      <c r="C245" s="3" t="inlineStr">
        <is>
          <t>shí jiān</t>
        </is>
      </c>
      <c r="D245" s="4" t="inlineStr">
        <is>
          <t>time</t>
        </is>
      </c>
      <c r="E245" s="3" t="inlineStr">
        <is>
          <t>时 shí (SH+Ø (no final)) · 间 jiān (J+IAN)</t>
        </is>
      </c>
      <c r="F245" s="3" t="inlineStr">
        <is>
          <t>2-1</t>
        </is>
      </c>
    </row>
    <row r="246" ht="15.75" customHeight="1" s="9">
      <c r="A246" s="3" t="n">
        <v>2</v>
      </c>
      <c r="B246" s="3" t="inlineStr">
        <is>
          <t>事情</t>
        </is>
      </c>
      <c r="C246" s="3" t="inlineStr">
        <is>
          <t>shì qing</t>
        </is>
      </c>
      <c r="D246" s="4" t="inlineStr">
        <is>
          <t>matter; thing</t>
        </is>
      </c>
      <c r="E246" s="3" t="inlineStr">
        <is>
          <t>事 shì (SH+Ø (no final)) · 情 qing (Q+ING)</t>
        </is>
      </c>
      <c r="F246" s="3" t="inlineStr">
        <is>
          <t>4-5</t>
        </is>
      </c>
    </row>
    <row r="247" ht="15.75" customHeight="1" s="9">
      <c r="A247" s="3" t="n">
        <v>2</v>
      </c>
      <c r="B247" s="3" t="inlineStr">
        <is>
          <t>手表</t>
        </is>
      </c>
      <c r="C247" s="3" t="inlineStr">
        <is>
          <t>shǒu biǎo</t>
        </is>
      </c>
      <c r="D247" s="4" t="inlineStr">
        <is>
          <t>watch</t>
        </is>
      </c>
      <c r="E247" s="3" t="inlineStr">
        <is>
          <t>手 shǒu (SH+OU) · 表 biǎo (B+IAO)</t>
        </is>
      </c>
      <c r="F247" s="3" t="inlineStr">
        <is>
          <t>3-3</t>
        </is>
      </c>
    </row>
    <row r="248" ht="15.75" customHeight="1" s="9">
      <c r="A248" s="3" t="n">
        <v>2</v>
      </c>
      <c r="B248" s="3" t="inlineStr">
        <is>
          <t>手机</t>
        </is>
      </c>
      <c r="C248" s="3" t="inlineStr">
        <is>
          <t>shǒu jī</t>
        </is>
      </c>
      <c r="D248" s="4" t="inlineStr">
        <is>
          <t>mobile phone</t>
        </is>
      </c>
      <c r="E248" s="3" t="inlineStr">
        <is>
          <t>手 shǒu (SH+OU) · 机 jī (J+I)</t>
        </is>
      </c>
      <c r="F248" s="3" t="inlineStr">
        <is>
          <t>3-1</t>
        </is>
      </c>
    </row>
    <row r="249" ht="15.75" customHeight="1" s="9">
      <c r="A249" s="3" t="n">
        <v>2</v>
      </c>
      <c r="B249" s="3" t="inlineStr">
        <is>
          <t>说话</t>
        </is>
      </c>
      <c r="C249" s="3" t="inlineStr">
        <is>
          <t>shuō huà</t>
        </is>
      </c>
      <c r="D249" s="4" t="inlineStr">
        <is>
          <t>speak; talk</t>
        </is>
      </c>
      <c r="E249" s="3" t="inlineStr">
        <is>
          <t>说 shuō (SH+UO) · 话 huà (H+UA)</t>
        </is>
      </c>
      <c r="F249" s="3" t="inlineStr">
        <is>
          <t>1-4</t>
        </is>
      </c>
    </row>
    <row r="250" ht="15.75" customHeight="1" s="9">
      <c r="A250" s="3" t="n">
        <v>2</v>
      </c>
      <c r="B250" s="3" t="inlineStr">
        <is>
          <t>送</t>
        </is>
      </c>
      <c r="C250" s="3" t="inlineStr">
        <is>
          <t>sòng</t>
        </is>
      </c>
      <c r="D250" s="4" t="inlineStr">
        <is>
          <t>give; deliver</t>
        </is>
      </c>
      <c r="E250" s="3" t="inlineStr">
        <is>
          <t>送 sòng (S+ONG)</t>
        </is>
      </c>
      <c r="F250" s="3" t="inlineStr">
        <is>
          <t>4</t>
        </is>
      </c>
    </row>
    <row r="251" ht="15.75" customHeight="1" s="9">
      <c r="A251" s="3" t="n">
        <v>2</v>
      </c>
      <c r="B251" s="3" t="inlineStr">
        <is>
          <t>虽然…但是…</t>
        </is>
      </c>
      <c r="C251" s="3" t="inlineStr">
        <is>
          <t>suī rán …dàn shì …</t>
        </is>
      </c>
      <c r="D251" s="4" t="inlineStr">
        <is>
          <t>although…but</t>
        </is>
      </c>
      <c r="E251" s="3" t="inlineStr">
        <is>
          <t>虽 suī (S+UI) · 然 rán (R+AN) · 但 dàn (D+AN) · 是 shì (SH+Ø (no final))</t>
        </is>
      </c>
      <c r="F251" s="3" t="inlineStr">
        <is>
          <t>1-2-4-4</t>
        </is>
      </c>
    </row>
    <row r="252" ht="15.75" customHeight="1" s="9">
      <c r="A252" s="3" t="n">
        <v>2</v>
      </c>
      <c r="B252" s="3" t="inlineStr">
        <is>
          <t>它</t>
        </is>
      </c>
      <c r="C252" s="3" t="inlineStr">
        <is>
          <t>tā</t>
        </is>
      </c>
      <c r="D252" s="4" t="inlineStr">
        <is>
          <t>it</t>
        </is>
      </c>
      <c r="E252" s="3" t="inlineStr">
        <is>
          <t>它 tā (T+A)</t>
        </is>
      </c>
      <c r="F252" s="3" t="inlineStr">
        <is>
          <t>1</t>
        </is>
      </c>
    </row>
    <row r="253" ht="15.75" customHeight="1" s="9">
      <c r="A253" s="3" t="n">
        <v>2</v>
      </c>
      <c r="B253" s="3" t="inlineStr">
        <is>
          <t>踢足球</t>
        </is>
      </c>
      <c r="C253" s="3" t="inlineStr">
        <is>
          <t>tī zú qiú</t>
        </is>
      </c>
      <c r="D253" s="4" t="inlineStr">
        <is>
          <t>play soccer</t>
        </is>
      </c>
      <c r="E253" s="3" t="inlineStr">
        <is>
          <t>踢 tī (T+I) · 足 zú (Z+U) · 球 qiú (Q+IU)</t>
        </is>
      </c>
      <c r="F253" s="3" t="inlineStr">
        <is>
          <t>1-2-2</t>
        </is>
      </c>
    </row>
    <row r="254" ht="15.75" customHeight="1" s="9">
      <c r="A254" s="3" t="n">
        <v>2</v>
      </c>
      <c r="B254" s="3" t="inlineStr">
        <is>
          <t>题</t>
        </is>
      </c>
      <c r="C254" s="3" t="inlineStr">
        <is>
          <t>tí</t>
        </is>
      </c>
      <c r="D254" s="4" t="inlineStr">
        <is>
          <t>question; topic</t>
        </is>
      </c>
      <c r="E254" s="3" t="inlineStr">
        <is>
          <t>题 tí (T+I)</t>
        </is>
      </c>
      <c r="F254" s="3" t="inlineStr">
        <is>
          <t>2</t>
        </is>
      </c>
    </row>
    <row r="255" ht="15.75" customHeight="1" s="9">
      <c r="A255" s="3" t="n">
        <v>2</v>
      </c>
      <c r="B255" s="3" t="inlineStr">
        <is>
          <t>跳舞</t>
        </is>
      </c>
      <c r="C255" s="3" t="inlineStr">
        <is>
          <t>tiào wǔ</t>
        </is>
      </c>
      <c r="D255" s="4" t="inlineStr">
        <is>
          <t>dance</t>
        </is>
      </c>
      <c r="E255" s="3" t="inlineStr">
        <is>
          <t>跳 tiào (T+IAO) · 舞 wǔ (W+U)</t>
        </is>
      </c>
      <c r="F255" s="3" t="inlineStr">
        <is>
          <t>4-3</t>
        </is>
      </c>
    </row>
    <row r="256" ht="15.75" customHeight="1" s="9">
      <c r="A256" s="3" t="n">
        <v>2</v>
      </c>
      <c r="B256" s="3" t="inlineStr">
        <is>
          <t>外</t>
        </is>
      </c>
      <c r="C256" s="3" t="inlineStr">
        <is>
          <t>wài</t>
        </is>
      </c>
      <c r="D256" s="4" t="inlineStr">
        <is>
          <t>outside</t>
        </is>
      </c>
      <c r="E256" s="3" t="inlineStr">
        <is>
          <t>外 wài (W+AI)</t>
        </is>
      </c>
      <c r="F256" s="3" t="inlineStr">
        <is>
          <t>4</t>
        </is>
      </c>
    </row>
    <row r="257" ht="15.75" customHeight="1" s="9">
      <c r="A257" s="3" t="n">
        <v>2</v>
      </c>
      <c r="B257" s="3" t="inlineStr">
        <is>
          <t>完</t>
        </is>
      </c>
      <c r="C257" s="3" t="inlineStr">
        <is>
          <t>wán</t>
        </is>
      </c>
      <c r="D257" s="4" t="inlineStr">
        <is>
          <t>finish</t>
        </is>
      </c>
      <c r="E257" s="3" t="inlineStr">
        <is>
          <t>完 wán (W+AN)</t>
        </is>
      </c>
      <c r="F257" s="3" t="inlineStr">
        <is>
          <t>2</t>
        </is>
      </c>
    </row>
    <row r="258" ht="15.75" customHeight="1" s="9">
      <c r="A258" s="3" t="n">
        <v>2</v>
      </c>
      <c r="B258" s="3" t="inlineStr">
        <is>
          <t>玩</t>
        </is>
      </c>
      <c r="C258" s="3" t="inlineStr">
        <is>
          <t>wán</t>
        </is>
      </c>
      <c r="D258" s="4" t="inlineStr">
        <is>
          <t>play</t>
        </is>
      </c>
      <c r="E258" s="3" t="inlineStr">
        <is>
          <t>玩 wán (W+AN)</t>
        </is>
      </c>
      <c r="F258" s="3" t="inlineStr">
        <is>
          <t>2</t>
        </is>
      </c>
    </row>
    <row r="259" ht="15.75" customHeight="1" s="9">
      <c r="A259" s="3" t="n">
        <v>2</v>
      </c>
      <c r="B259" s="3" t="inlineStr">
        <is>
          <t>晚上</t>
        </is>
      </c>
      <c r="C259" s="3" t="inlineStr">
        <is>
          <t>wǎn shang</t>
        </is>
      </c>
      <c r="D259" s="4" t="inlineStr">
        <is>
          <t>evening</t>
        </is>
      </c>
      <c r="E259" s="3" t="inlineStr">
        <is>
          <t>晚 wǎn (W+AN) · 上 shang (SH+ANG)</t>
        </is>
      </c>
      <c r="F259" s="3" t="inlineStr">
        <is>
          <t>3-5</t>
        </is>
      </c>
    </row>
    <row r="260" ht="15.75" customHeight="1" s="9">
      <c r="A260" s="3" t="n">
        <v>2</v>
      </c>
      <c r="B260" s="3" t="inlineStr">
        <is>
          <t>往</t>
        </is>
      </c>
      <c r="C260" s="3" t="inlineStr">
        <is>
          <t>wǎng</t>
        </is>
      </c>
      <c r="D260" s="4" t="inlineStr">
        <is>
          <t>toward</t>
        </is>
      </c>
      <c r="E260" s="3" t="inlineStr">
        <is>
          <t>往 wǎng (W+ANG)</t>
        </is>
      </c>
      <c r="F260" s="3" t="inlineStr">
        <is>
          <t>3</t>
        </is>
      </c>
    </row>
    <row r="261" ht="15.75" customHeight="1" s="9">
      <c r="A261" s="3" t="n">
        <v>2</v>
      </c>
      <c r="B261" s="3" t="inlineStr">
        <is>
          <t>为什么</t>
        </is>
      </c>
      <c r="C261" s="3" t="inlineStr">
        <is>
          <t>wèi shén me</t>
        </is>
      </c>
      <c r="D261" s="4" t="inlineStr">
        <is>
          <t>why</t>
        </is>
      </c>
      <c r="E261" s="3" t="inlineStr">
        <is>
          <t>为 wèi (W+EI) · 什 shén (SH+(E)N) · 么 me (M+E)</t>
        </is>
      </c>
      <c r="F261" s="3" t="inlineStr">
        <is>
          <t>4-2-5</t>
        </is>
      </c>
    </row>
    <row r="262" ht="15.75" customHeight="1" s="9">
      <c r="A262" s="3" t="n">
        <v>2</v>
      </c>
      <c r="B262" s="3" t="inlineStr">
        <is>
          <t>问</t>
        </is>
      </c>
      <c r="C262" s="3" t="inlineStr">
        <is>
          <t>wèn</t>
        </is>
      </c>
      <c r="D262" s="4" t="inlineStr">
        <is>
          <t>ask</t>
        </is>
      </c>
      <c r="E262" s="3" t="inlineStr">
        <is>
          <t>问 wèn (W+(E)N)</t>
        </is>
      </c>
      <c r="F262" s="3" t="inlineStr">
        <is>
          <t>4</t>
        </is>
      </c>
    </row>
    <row r="263" ht="15.75" customHeight="1" s="9">
      <c r="A263" s="3" t="n">
        <v>2</v>
      </c>
      <c r="B263" s="3" t="inlineStr">
        <is>
          <t>问题</t>
        </is>
      </c>
      <c r="C263" s="3" t="inlineStr">
        <is>
          <t>wèn tí</t>
        </is>
      </c>
      <c r="D263" s="4" t="inlineStr">
        <is>
          <t>question; problem</t>
        </is>
      </c>
      <c r="E263" s="3" t="inlineStr">
        <is>
          <t>问 wèn (W+(E)N) · 题 tí (T+I)</t>
        </is>
      </c>
      <c r="F263" s="3" t="inlineStr">
        <is>
          <t>4-2</t>
        </is>
      </c>
    </row>
    <row r="264" ht="15.75" customHeight="1" s="9">
      <c r="A264" s="3" t="n">
        <v>2</v>
      </c>
      <c r="B264" s="3" t="inlineStr">
        <is>
          <t>希望</t>
        </is>
      </c>
      <c r="C264" s="3" t="inlineStr">
        <is>
          <t>xī wàng</t>
        </is>
      </c>
      <c r="D264" s="4" t="inlineStr">
        <is>
          <t>hope</t>
        </is>
      </c>
      <c r="E264" s="3" t="inlineStr">
        <is>
          <t>希 xī (X+I) · 望 wàng (W+ANG)</t>
        </is>
      </c>
      <c r="F264" s="3" t="inlineStr">
        <is>
          <t>1-4</t>
        </is>
      </c>
    </row>
    <row r="265" ht="15.75" customHeight="1" s="9">
      <c r="A265" s="3" t="n">
        <v>2</v>
      </c>
      <c r="B265" s="3" t="inlineStr">
        <is>
          <t>西瓜</t>
        </is>
      </c>
      <c r="C265" s="3" t="inlineStr">
        <is>
          <t>xī guā</t>
        </is>
      </c>
      <c r="D265" s="4" t="inlineStr">
        <is>
          <t>watermelon</t>
        </is>
      </c>
      <c r="E265" s="3" t="inlineStr">
        <is>
          <t>西 xī (X+I) · 瓜 guā (G+UA)</t>
        </is>
      </c>
      <c r="F265" s="3" t="inlineStr">
        <is>
          <t>1-1</t>
        </is>
      </c>
    </row>
    <row r="266" ht="15.75" customHeight="1" s="9">
      <c r="A266" s="3" t="n">
        <v>2</v>
      </c>
      <c r="B266" s="3" t="inlineStr">
        <is>
          <t>洗</t>
        </is>
      </c>
      <c r="C266" s="3" t="inlineStr">
        <is>
          <t>xǐ</t>
        </is>
      </c>
      <c r="D266" s="4" t="inlineStr">
        <is>
          <t>wash</t>
        </is>
      </c>
      <c r="E266" s="3" t="inlineStr">
        <is>
          <t>洗 xǐ (X+I)</t>
        </is>
      </c>
      <c r="F266" s="3" t="inlineStr">
        <is>
          <t>3</t>
        </is>
      </c>
    </row>
    <row r="267" ht="15.75" customHeight="1" s="9">
      <c r="A267" s="3" t="n">
        <v>2</v>
      </c>
      <c r="B267" s="3" t="inlineStr">
        <is>
          <t>小时</t>
        </is>
      </c>
      <c r="C267" s="3" t="inlineStr">
        <is>
          <t>xiǎo shí</t>
        </is>
      </c>
      <c r="D267" s="4" t="inlineStr">
        <is>
          <t>hour</t>
        </is>
      </c>
      <c r="E267" s="3" t="inlineStr">
        <is>
          <t>小 xiǎo (X+IAO) · 时 shí (SH+Ø (no final))</t>
        </is>
      </c>
      <c r="F267" s="3" t="inlineStr">
        <is>
          <t>3-2</t>
        </is>
      </c>
    </row>
    <row r="268" ht="15.75" customHeight="1" s="9">
      <c r="A268" s="3" t="n">
        <v>2</v>
      </c>
      <c r="B268" s="3" t="inlineStr">
        <is>
          <t>笑</t>
        </is>
      </c>
      <c r="C268" s="3" t="inlineStr">
        <is>
          <t>xiào</t>
        </is>
      </c>
      <c r="D268" s="4" t="inlineStr">
        <is>
          <t>laugh; smile</t>
        </is>
      </c>
      <c r="E268" s="3" t="inlineStr">
        <is>
          <t>笑 xiào (X+IAO)</t>
        </is>
      </c>
      <c r="F268" s="3" t="inlineStr">
        <is>
          <t>4</t>
        </is>
      </c>
    </row>
    <row r="269" ht="15.75" customHeight="1" s="9">
      <c r="A269" s="3" t="n">
        <v>2</v>
      </c>
      <c r="B269" s="3" t="inlineStr">
        <is>
          <t>新</t>
        </is>
      </c>
      <c r="C269" s="3" t="inlineStr">
        <is>
          <t>xīn</t>
        </is>
      </c>
      <c r="D269" s="4" t="inlineStr">
        <is>
          <t>new</t>
        </is>
      </c>
      <c r="E269" s="3" t="inlineStr">
        <is>
          <t>新 xīn (X+IN)</t>
        </is>
      </c>
      <c r="F269" s="3" t="inlineStr">
        <is>
          <t>1</t>
        </is>
      </c>
    </row>
    <row r="270" ht="15.75" customHeight="1" s="9">
      <c r="A270" s="3" t="n">
        <v>2</v>
      </c>
      <c r="B270" s="3" t="inlineStr">
        <is>
          <t>姓</t>
        </is>
      </c>
      <c r="C270" s="3" t="inlineStr">
        <is>
          <t>xìng</t>
        </is>
      </c>
      <c r="D270" s="4" t="inlineStr">
        <is>
          <t>surname</t>
        </is>
      </c>
      <c r="E270" s="3" t="inlineStr">
        <is>
          <t>姓 xìng (X+ING)</t>
        </is>
      </c>
      <c r="F270" s="3" t="inlineStr">
        <is>
          <t>4</t>
        </is>
      </c>
    </row>
    <row r="271" ht="15.75" customHeight="1" s="9">
      <c r="A271" s="3" t="n">
        <v>2</v>
      </c>
      <c r="B271" s="3" t="inlineStr">
        <is>
          <t>休息</t>
        </is>
      </c>
      <c r="C271" s="3" t="inlineStr">
        <is>
          <t>xiū xi</t>
        </is>
      </c>
      <c r="D271" s="4" t="inlineStr">
        <is>
          <t>rest</t>
        </is>
      </c>
      <c r="E271" s="3" t="inlineStr">
        <is>
          <t>休 xiū (X+IU) · 息 xi (X+I)</t>
        </is>
      </c>
      <c r="F271" s="3" t="inlineStr">
        <is>
          <t>1-5</t>
        </is>
      </c>
    </row>
    <row r="272" ht="15.75" customHeight="1" s="9">
      <c r="A272" s="3" t="n">
        <v>2</v>
      </c>
      <c r="B272" s="3" t="inlineStr">
        <is>
          <t>雪</t>
        </is>
      </c>
      <c r="C272" s="3" t="inlineStr">
        <is>
          <t>xuě</t>
        </is>
      </c>
      <c r="D272" s="4" t="inlineStr">
        <is>
          <t>snow</t>
        </is>
      </c>
      <c r="E272" s="3" t="inlineStr">
        <is>
          <t>雪 xuě (X+UE)</t>
        </is>
      </c>
      <c r="F272" s="3" t="inlineStr">
        <is>
          <t>3</t>
        </is>
      </c>
    </row>
    <row r="273" ht="15.75" customHeight="1" s="9">
      <c r="A273" s="3" t="n">
        <v>2</v>
      </c>
      <c r="B273" s="3" t="inlineStr">
        <is>
          <t>颜色</t>
        </is>
      </c>
      <c r="C273" s="3" t="inlineStr">
        <is>
          <t>yán sè</t>
        </is>
      </c>
      <c r="D273" s="4" t="inlineStr">
        <is>
          <t>color</t>
        </is>
      </c>
      <c r="E273" s="3" t="inlineStr">
        <is>
          <t>颜 yán (Y+AN) · 色 sè (S+E)</t>
        </is>
      </c>
      <c r="F273" s="3" t="inlineStr">
        <is>
          <t>2-4</t>
        </is>
      </c>
    </row>
    <row r="274" ht="15.75" customHeight="1" s="9">
      <c r="A274" s="3" t="n">
        <v>2</v>
      </c>
      <c r="B274" s="3" t="inlineStr">
        <is>
          <t>眼睛</t>
        </is>
      </c>
      <c r="C274" s="3" t="inlineStr">
        <is>
          <t>yǎn jing</t>
        </is>
      </c>
      <c r="D274" s="4" t="inlineStr">
        <is>
          <t>eyes</t>
        </is>
      </c>
      <c r="E274" s="3" t="inlineStr">
        <is>
          <t>眼 yǎn (Y+AN) · 睛 jing (J+ING)</t>
        </is>
      </c>
      <c r="F274" s="3" t="inlineStr">
        <is>
          <t>3-5</t>
        </is>
      </c>
    </row>
    <row r="275" ht="15.75" customHeight="1" s="9">
      <c r="A275" s="3" t="n">
        <v>2</v>
      </c>
      <c r="B275" s="3" t="inlineStr">
        <is>
          <t>羊肉</t>
        </is>
      </c>
      <c r="C275" s="3" t="inlineStr">
        <is>
          <t>yáng ròu</t>
        </is>
      </c>
      <c r="D275" s="4" t="inlineStr">
        <is>
          <t>mutton</t>
        </is>
      </c>
      <c r="E275" s="3" t="inlineStr">
        <is>
          <t>羊 yáng (Y+ANG) · 肉 ròu (R+OU)</t>
        </is>
      </c>
      <c r="F275" s="3" t="inlineStr">
        <is>
          <t>2-4</t>
        </is>
      </c>
    </row>
    <row r="276" ht="15.75" customHeight="1" s="9">
      <c r="A276" s="3" t="n">
        <v>2</v>
      </c>
      <c r="B276" s="3" t="inlineStr">
        <is>
          <t>药</t>
        </is>
      </c>
      <c r="C276" s="3" t="inlineStr">
        <is>
          <t>yào</t>
        </is>
      </c>
      <c r="D276" s="4" t="inlineStr">
        <is>
          <t>medicine</t>
        </is>
      </c>
      <c r="E276" s="3" t="inlineStr">
        <is>
          <t>药 yào (Y+AO)</t>
        </is>
      </c>
      <c r="F276" s="3" t="inlineStr">
        <is>
          <t>4</t>
        </is>
      </c>
    </row>
    <row r="277" ht="15.75" customHeight="1" s="9">
      <c r="A277" s="3" t="n">
        <v>2</v>
      </c>
      <c r="B277" s="3" t="inlineStr">
        <is>
          <t>要</t>
        </is>
      </c>
      <c r="C277" s="3" t="inlineStr">
        <is>
          <t>yào</t>
        </is>
      </c>
      <c r="D277" s="4" t="inlineStr">
        <is>
          <t>want; need; will</t>
        </is>
      </c>
      <c r="E277" s="3" t="inlineStr">
        <is>
          <t>要 yào (Y+AO)</t>
        </is>
      </c>
      <c r="F277" s="3" t="inlineStr">
        <is>
          <t>4</t>
        </is>
      </c>
    </row>
    <row r="278" ht="15.75" customHeight="1" s="9">
      <c r="A278" s="3" t="n">
        <v>2</v>
      </c>
      <c r="B278" s="3" t="inlineStr">
        <is>
          <t>也</t>
        </is>
      </c>
      <c r="C278" s="3" t="inlineStr">
        <is>
          <t>yě</t>
        </is>
      </c>
      <c r="D278" s="4" t="inlineStr">
        <is>
          <t>also</t>
        </is>
      </c>
      <c r="E278" s="3" t="inlineStr">
        <is>
          <t>也 yě (Y+E)</t>
        </is>
      </c>
      <c r="F278" s="3" t="inlineStr">
        <is>
          <t>3</t>
        </is>
      </c>
    </row>
    <row r="279" ht="15.75" customHeight="1" s="9">
      <c r="A279" s="3" t="n">
        <v>2</v>
      </c>
      <c r="B279" s="3" t="inlineStr">
        <is>
          <t>一下</t>
        </is>
      </c>
      <c r="C279" s="3" t="inlineStr">
        <is>
          <t>yī xià</t>
        </is>
      </c>
      <c r="D279" s="4" t="inlineStr">
        <is>
          <t>a bit; once</t>
        </is>
      </c>
      <c r="E279" s="3" t="inlineStr">
        <is>
          <t>一 yī (Y+I) · 下 xià (X+IA)</t>
        </is>
      </c>
      <c r="F279" s="3" t="inlineStr">
        <is>
          <t>1-4</t>
        </is>
      </c>
    </row>
    <row r="280" ht="15.75" customHeight="1" s="9">
      <c r="A280" s="3" t="n">
        <v>2</v>
      </c>
      <c r="B280" s="3" t="inlineStr">
        <is>
          <t>已经</t>
        </is>
      </c>
      <c r="C280" s="3" t="inlineStr">
        <is>
          <t>yǐ jīng</t>
        </is>
      </c>
      <c r="D280" s="4" t="inlineStr">
        <is>
          <t>already</t>
        </is>
      </c>
      <c r="E280" s="3" t="inlineStr">
        <is>
          <t>已 yǐ (Y+I) · 经 jīng (J+ING)</t>
        </is>
      </c>
      <c r="F280" s="3" t="inlineStr">
        <is>
          <t>3-1</t>
        </is>
      </c>
    </row>
    <row r="281" ht="15.75" customHeight="1" s="9">
      <c r="A281" s="3" t="n">
        <v>2</v>
      </c>
      <c r="B281" s="3" t="inlineStr">
        <is>
          <t>一起</t>
        </is>
      </c>
      <c r="C281" s="3" t="inlineStr">
        <is>
          <t>yī qǐ</t>
        </is>
      </c>
      <c r="D281" s="4" t="inlineStr">
        <is>
          <t>together</t>
        </is>
      </c>
      <c r="E281" s="3" t="inlineStr">
        <is>
          <t>一 yī (Y+I) · 起 qǐ (Q+I)</t>
        </is>
      </c>
      <c r="F281" s="3" t="inlineStr">
        <is>
          <t>1-3</t>
        </is>
      </c>
    </row>
    <row r="282" ht="15.75" customHeight="1" s="9">
      <c r="A282" s="3" t="n">
        <v>2</v>
      </c>
      <c r="B282" s="3" t="inlineStr">
        <is>
          <t>意思</t>
        </is>
      </c>
      <c r="C282" s="3" t="inlineStr">
        <is>
          <t>yì si</t>
        </is>
      </c>
      <c r="D282" s="4" t="inlineStr">
        <is>
          <t>meaning</t>
        </is>
      </c>
      <c r="E282" s="3" t="inlineStr">
        <is>
          <t>意 yì (Y+I) · 思 si (S+Ø (no final))</t>
        </is>
      </c>
      <c r="F282" s="3" t="inlineStr">
        <is>
          <t>4-5</t>
        </is>
      </c>
    </row>
    <row r="283" ht="15.75" customHeight="1" s="9">
      <c r="A283" s="3" t="n">
        <v>2</v>
      </c>
      <c r="B283" s="3" t="inlineStr">
        <is>
          <t>因为…所以…</t>
        </is>
      </c>
      <c r="C283" s="3" t="inlineStr">
        <is>
          <t>yīn wèi …suǒ yǐ …</t>
        </is>
      </c>
      <c r="D283" s="4" t="inlineStr">
        <is>
          <t>because…so</t>
        </is>
      </c>
      <c r="E283" s="3" t="inlineStr">
        <is>
          <t>因 yīn (Y+IN) · 为 wèi (W+EI) · 所 suǒ (S+UO) · 以 yǐ (Y+I)</t>
        </is>
      </c>
      <c r="F283" s="3" t="inlineStr">
        <is>
          <t>1-4-3-3</t>
        </is>
      </c>
    </row>
    <row r="284" ht="15.75" customHeight="1" s="9">
      <c r="A284" s="3" t="n">
        <v>2</v>
      </c>
      <c r="B284" s="3" t="inlineStr">
        <is>
          <t>阴</t>
        </is>
      </c>
      <c r="C284" s="3" t="inlineStr">
        <is>
          <t>yīn</t>
        </is>
      </c>
      <c r="D284" s="4" t="inlineStr">
        <is>
          <t>cloudy; overcast</t>
        </is>
      </c>
      <c r="E284" s="3" t="inlineStr">
        <is>
          <t>阴 yīn (Y+IN)</t>
        </is>
      </c>
      <c r="F284" s="3" t="inlineStr">
        <is>
          <t>1</t>
        </is>
      </c>
    </row>
    <row r="285" ht="15.75" customHeight="1" s="9">
      <c r="A285" s="3" t="n">
        <v>2</v>
      </c>
      <c r="B285" s="3" t="inlineStr">
        <is>
          <t>游泳</t>
        </is>
      </c>
      <c r="C285" s="3" t="inlineStr">
        <is>
          <t>yóu yǒng</t>
        </is>
      </c>
      <c r="D285" s="4" t="inlineStr">
        <is>
          <t>swim</t>
        </is>
      </c>
      <c r="E285" s="3" t="inlineStr">
        <is>
          <t>游 yóu (Y+OU) · 泳 yǒng (Y+ONG)</t>
        </is>
      </c>
      <c r="F285" s="3" t="inlineStr">
        <is>
          <t>2-3</t>
        </is>
      </c>
    </row>
    <row r="286" ht="15.75" customHeight="1" s="9">
      <c r="A286" s="3" t="n">
        <v>2</v>
      </c>
      <c r="B286" s="3" t="inlineStr">
        <is>
          <t>右边</t>
        </is>
      </c>
      <c r="C286" s="3" t="inlineStr">
        <is>
          <t>yòu bian</t>
        </is>
      </c>
      <c r="D286" s="4" t="inlineStr">
        <is>
          <t>right side</t>
        </is>
      </c>
      <c r="E286" s="3" t="inlineStr">
        <is>
          <t>右 yòu (Y+OU) · 边 bian (B+IAN)</t>
        </is>
      </c>
      <c r="F286" s="3" t="inlineStr">
        <is>
          <t>4-5</t>
        </is>
      </c>
    </row>
    <row r="287" ht="15.75" customHeight="1" s="9">
      <c r="A287" s="3" t="n">
        <v>2</v>
      </c>
      <c r="B287" s="3" t="inlineStr">
        <is>
          <t>鱼</t>
        </is>
      </c>
      <c r="C287" s="3" t="inlineStr">
        <is>
          <t>yú</t>
        </is>
      </c>
      <c r="D287" s="4" t="inlineStr">
        <is>
          <t>fish</t>
        </is>
      </c>
      <c r="E287" s="3" t="inlineStr">
        <is>
          <t>鱼 yú (Y+U)</t>
        </is>
      </c>
      <c r="F287" s="3" t="inlineStr">
        <is>
          <t>2</t>
        </is>
      </c>
    </row>
    <row r="288" ht="15.75" customHeight="1" s="9">
      <c r="A288" s="3" t="n">
        <v>2</v>
      </c>
      <c r="B288" s="3" t="inlineStr">
        <is>
          <t>远</t>
        </is>
      </c>
      <c r="C288" s="3" t="inlineStr">
        <is>
          <t>yuǎn</t>
        </is>
      </c>
      <c r="D288" s="4" t="inlineStr">
        <is>
          <t>far</t>
        </is>
      </c>
      <c r="E288" s="3" t="inlineStr">
        <is>
          <t>远 yuǎn (Y+UAN (14th, Jacob-specific))</t>
        </is>
      </c>
      <c r="F288" s="3" t="inlineStr">
        <is>
          <t>3</t>
        </is>
      </c>
    </row>
    <row r="289" ht="15.75" customHeight="1" s="9">
      <c r="A289" s="3" t="n">
        <v>2</v>
      </c>
      <c r="B289" s="3" t="inlineStr">
        <is>
          <t>运动</t>
        </is>
      </c>
      <c r="C289" s="3" t="inlineStr">
        <is>
          <t>yùn dòng</t>
        </is>
      </c>
      <c r="D289" s="4" t="inlineStr">
        <is>
          <t>exercise; sport</t>
        </is>
      </c>
      <c r="E289" s="3" t="inlineStr">
        <is>
          <t>运 yùn (Y+UN) · 动 dòng (D+ONG)</t>
        </is>
      </c>
      <c r="F289" s="3" t="inlineStr">
        <is>
          <t>4-4</t>
        </is>
      </c>
    </row>
    <row r="290" ht="15.75" customHeight="1" s="9">
      <c r="A290" s="3" t="n">
        <v>2</v>
      </c>
      <c r="B290" s="3" t="inlineStr">
        <is>
          <t>再</t>
        </is>
      </c>
      <c r="C290" s="3" t="inlineStr">
        <is>
          <t>zài</t>
        </is>
      </c>
      <c r="D290" s="4" t="inlineStr">
        <is>
          <t>again</t>
        </is>
      </c>
      <c r="E290" s="3" t="inlineStr">
        <is>
          <t>再 zài (Z+AI)</t>
        </is>
      </c>
      <c r="F290" s="3" t="inlineStr">
        <is>
          <t>4</t>
        </is>
      </c>
    </row>
    <row r="291" ht="15.75" customHeight="1" s="9">
      <c r="A291" s="3" t="n">
        <v>2</v>
      </c>
      <c r="B291" s="3" t="inlineStr">
        <is>
          <t>早上</t>
        </is>
      </c>
      <c r="C291" s="3" t="inlineStr">
        <is>
          <t>zǎo shang</t>
        </is>
      </c>
      <c r="D291" s="4" t="inlineStr">
        <is>
          <t>morning</t>
        </is>
      </c>
      <c r="E291" s="3" t="inlineStr">
        <is>
          <t>早 zǎo (Z+AO) · 上 shang (SH+ANG)</t>
        </is>
      </c>
      <c r="F291" s="3" t="inlineStr">
        <is>
          <t>3-5</t>
        </is>
      </c>
    </row>
    <row r="292" ht="15.75" customHeight="1" s="9">
      <c r="A292" s="3" t="n">
        <v>2</v>
      </c>
      <c r="B292" s="3" t="inlineStr">
        <is>
          <t>丈夫</t>
        </is>
      </c>
      <c r="C292" s="3" t="inlineStr">
        <is>
          <t>zhàng fu</t>
        </is>
      </c>
      <c r="D292" s="4" t="inlineStr">
        <is>
          <t>husband</t>
        </is>
      </c>
      <c r="E292" s="3" t="inlineStr">
        <is>
          <t>丈 zhàng (ZH+ANG) · 夫 fu (F+U)</t>
        </is>
      </c>
      <c r="F292" s="3" t="inlineStr">
        <is>
          <t>4-5</t>
        </is>
      </c>
    </row>
    <row r="293" ht="15.75" customHeight="1" s="9">
      <c r="A293" s="3" t="n">
        <v>2</v>
      </c>
      <c r="B293" s="3" t="inlineStr">
        <is>
          <t>找</t>
        </is>
      </c>
      <c r="C293" s="3" t="inlineStr">
        <is>
          <t>zhǎo</t>
        </is>
      </c>
      <c r="D293" s="4" t="inlineStr">
        <is>
          <t>look for</t>
        </is>
      </c>
      <c r="E293" s="3" t="inlineStr">
        <is>
          <t>找 zhǎo (ZH+AO)</t>
        </is>
      </c>
      <c r="F293" s="3" t="inlineStr">
        <is>
          <t>3</t>
        </is>
      </c>
    </row>
    <row r="294" ht="15.75" customHeight="1" s="9">
      <c r="A294" s="3" t="n">
        <v>2</v>
      </c>
      <c r="B294" s="3" t="inlineStr">
        <is>
          <t>着</t>
        </is>
      </c>
      <c r="C294" s="3" t="inlineStr">
        <is>
          <t>zhe</t>
        </is>
      </c>
      <c r="D294" s="4" t="inlineStr">
        <is>
          <t>continuous aspect particle</t>
        </is>
      </c>
      <c r="E294" s="3" t="inlineStr">
        <is>
          <t>着 zhe (ZH+E)</t>
        </is>
      </c>
      <c r="F294" s="3" t="inlineStr">
        <is>
          <t>5</t>
        </is>
      </c>
    </row>
    <row r="295" ht="15.75" customHeight="1" s="9">
      <c r="A295" s="3" t="n">
        <v>2</v>
      </c>
      <c r="B295" s="3" t="inlineStr">
        <is>
          <t>真</t>
        </is>
      </c>
      <c r="C295" s="3" t="inlineStr">
        <is>
          <t>zhēn</t>
        </is>
      </c>
      <c r="D295" s="4" t="inlineStr">
        <is>
          <t>really; true</t>
        </is>
      </c>
      <c r="E295" s="3" t="inlineStr">
        <is>
          <t>真 zhēn (ZH+(E)N)</t>
        </is>
      </c>
      <c r="F295" s="3" t="inlineStr">
        <is>
          <t>1</t>
        </is>
      </c>
    </row>
    <row r="296" ht="15.75" customHeight="1" s="9">
      <c r="A296" s="3" t="n">
        <v>2</v>
      </c>
      <c r="B296" s="3" t="inlineStr">
        <is>
          <t>正在</t>
        </is>
      </c>
      <c r="C296" s="3" t="inlineStr">
        <is>
          <t>zhèng zài</t>
        </is>
      </c>
      <c r="D296" s="4" t="inlineStr">
        <is>
          <t>in the middle of doing</t>
        </is>
      </c>
      <c r="E296" s="3" t="inlineStr">
        <is>
          <t>正 zhèng (ZH+(E)NG) · 在 zài (Z+AI)</t>
        </is>
      </c>
      <c r="F296" s="3" t="inlineStr">
        <is>
          <t>4-4</t>
        </is>
      </c>
    </row>
    <row r="297" ht="15.75" customHeight="1" s="9">
      <c r="A297" s="3" t="n">
        <v>2</v>
      </c>
      <c r="B297" s="3" t="inlineStr">
        <is>
          <t>知道</t>
        </is>
      </c>
      <c r="C297" s="3" t="inlineStr">
        <is>
          <t>zhī dào</t>
        </is>
      </c>
      <c r="D297" s="4" t="inlineStr">
        <is>
          <t>know</t>
        </is>
      </c>
      <c r="E297" s="3" t="inlineStr">
        <is>
          <t>知 zhī (ZH+Ø (no final)) · 道 dào (D+AO)</t>
        </is>
      </c>
      <c r="F297" s="3" t="inlineStr">
        <is>
          <t>1-4</t>
        </is>
      </c>
    </row>
    <row r="298" ht="15.75" customHeight="1" s="9">
      <c r="A298" s="3" t="n">
        <v>2</v>
      </c>
      <c r="B298" s="3" t="inlineStr">
        <is>
          <t>准备</t>
        </is>
      </c>
      <c r="C298" s="3" t="inlineStr">
        <is>
          <t>zhǔn bèi</t>
        </is>
      </c>
      <c r="D298" s="4" t="inlineStr">
        <is>
          <t>prepare</t>
        </is>
      </c>
      <c r="E298" s="3" t="inlineStr">
        <is>
          <t>准 zhǔn (ZH+UN) · 备 bèi (B+EI)</t>
        </is>
      </c>
      <c r="F298" s="3" t="inlineStr">
        <is>
          <t>3-4</t>
        </is>
      </c>
    </row>
    <row r="299" ht="15.75" customHeight="1" s="9">
      <c r="A299" s="3" t="n">
        <v>2</v>
      </c>
      <c r="B299" s="3" t="inlineStr">
        <is>
          <t>走</t>
        </is>
      </c>
      <c r="C299" s="3" t="inlineStr">
        <is>
          <t>zǒu</t>
        </is>
      </c>
      <c r="D299" s="4" t="inlineStr">
        <is>
          <t>walk; leave</t>
        </is>
      </c>
      <c r="E299" s="3" t="inlineStr">
        <is>
          <t>走 zǒu (Z+OU)</t>
        </is>
      </c>
      <c r="F299" s="3" t="inlineStr">
        <is>
          <t>3</t>
        </is>
      </c>
    </row>
    <row r="300" ht="15.75" customHeight="1" s="9">
      <c r="A300" s="3" t="n">
        <v>2</v>
      </c>
      <c r="B300" s="3" t="inlineStr">
        <is>
          <t>最</t>
        </is>
      </c>
      <c r="C300" s="3" t="inlineStr">
        <is>
          <t>zuì</t>
        </is>
      </c>
      <c r="D300" s="4" t="inlineStr">
        <is>
          <t>most</t>
        </is>
      </c>
      <c r="E300" s="3" t="inlineStr">
        <is>
          <t>最 zuì (Z+UI)</t>
        </is>
      </c>
      <c r="F300" s="3" t="inlineStr">
        <is>
          <t>4</t>
        </is>
      </c>
    </row>
    <row r="301" ht="15.75" customHeight="1" s="9">
      <c r="A301" s="3" t="n">
        <v>2</v>
      </c>
      <c r="B301" s="3" t="inlineStr">
        <is>
          <t>左边</t>
        </is>
      </c>
      <c r="C301" s="3" t="inlineStr">
        <is>
          <t>zuǒ bian</t>
        </is>
      </c>
      <c r="D301" s="4" t="inlineStr">
        <is>
          <t>left side</t>
        </is>
      </c>
      <c r="E301" s="3" t="inlineStr">
        <is>
          <t>左 zuǒ (Z+UO) · 边 bian (B+IAN)</t>
        </is>
      </c>
      <c r="F301" s="3" t="inlineStr">
        <is>
          <t>3-5</t>
        </is>
      </c>
    </row>
    <row r="302" ht="15.75" customHeight="1" s="9">
      <c r="A302" s="3" t="n">
        <v>3</v>
      </c>
      <c r="B302" s="3" t="inlineStr">
        <is>
          <t>啊</t>
        </is>
      </c>
      <c r="C302" s="3" t="inlineStr">
        <is>
          <t>a</t>
        </is>
      </c>
      <c r="D302" s="4" t="inlineStr">
        <is>
          <t>modal particle; ah</t>
        </is>
      </c>
      <c r="E302" s="3" t="inlineStr">
        <is>
          <t>啊 a (Ø+A)</t>
        </is>
      </c>
      <c r="F302" s="3" t="inlineStr">
        <is>
          <t>5</t>
        </is>
      </c>
    </row>
    <row r="303" ht="15.75" customHeight="1" s="9">
      <c r="A303" s="3" t="n">
        <v>3</v>
      </c>
      <c r="B303" s="3" t="inlineStr">
        <is>
          <t>阿姨</t>
        </is>
      </c>
      <c r="C303" s="3" t="inlineStr">
        <is>
          <t>ā yí</t>
        </is>
      </c>
      <c r="D303" s="4" t="inlineStr">
        <is>
          <t>aunt; nanny</t>
        </is>
      </c>
      <c r="E303" s="3" t="inlineStr">
        <is>
          <t>阿 ā (Ø+A) · 姨 yí (Y+I)</t>
        </is>
      </c>
      <c r="F303" s="3" t="inlineStr">
        <is>
          <t>1-2</t>
        </is>
      </c>
    </row>
    <row r="304" ht="15.75" customHeight="1" s="9">
      <c r="A304" s="3" t="n">
        <v>3</v>
      </c>
      <c r="B304" s="3" t="inlineStr">
        <is>
          <t>矮</t>
        </is>
      </c>
      <c r="C304" s="3" t="inlineStr">
        <is>
          <t>ǎi</t>
        </is>
      </c>
      <c r="D304" s="4" t="inlineStr">
        <is>
          <t>short</t>
        </is>
      </c>
      <c r="E304" s="3" t="inlineStr">
        <is>
          <t>矮 ǎi (Ø+AI)</t>
        </is>
      </c>
      <c r="F304" s="3" t="inlineStr">
        <is>
          <t>3</t>
        </is>
      </c>
    </row>
    <row r="305" ht="15.75" customHeight="1" s="9">
      <c r="A305" s="3" t="n">
        <v>3</v>
      </c>
      <c r="B305" s="3" t="inlineStr">
        <is>
          <t>爱好</t>
        </is>
      </c>
      <c r="C305" s="3" t="inlineStr">
        <is>
          <t>ài hào</t>
        </is>
      </c>
      <c r="D305" s="4" t="inlineStr">
        <is>
          <t>hobby</t>
        </is>
      </c>
      <c r="E305" s="3" t="inlineStr">
        <is>
          <t>爱 ài (Ø+AI) · 好 hào (H+AO)</t>
        </is>
      </c>
      <c r="F305" s="3" t="inlineStr">
        <is>
          <t>4-4</t>
        </is>
      </c>
    </row>
    <row r="306" ht="15.75" customHeight="1" s="9">
      <c r="A306" s="3" t="n">
        <v>3</v>
      </c>
      <c r="B306" s="3" t="inlineStr">
        <is>
          <t>安静</t>
        </is>
      </c>
      <c r="C306" s="3" t="inlineStr">
        <is>
          <t>ān jìng</t>
        </is>
      </c>
      <c r="D306" s="4" t="inlineStr">
        <is>
          <t>quiet</t>
        </is>
      </c>
      <c r="E306" s="3" t="inlineStr">
        <is>
          <t>安 ān (Ø+AN) · 静 jìng (J+ING)</t>
        </is>
      </c>
      <c r="F306" s="3" t="inlineStr">
        <is>
          <t>1-4</t>
        </is>
      </c>
    </row>
    <row r="307" ht="15.75" customHeight="1" s="9">
      <c r="A307" s="3" t="n">
        <v>3</v>
      </c>
      <c r="B307" s="3" t="inlineStr">
        <is>
          <t>把</t>
        </is>
      </c>
      <c r="C307" s="3" t="inlineStr">
        <is>
          <t>bǎ</t>
        </is>
      </c>
      <c r="D307" s="4" t="inlineStr">
        <is>
          <t>ba particle; handle</t>
        </is>
      </c>
      <c r="E307" s="3" t="inlineStr">
        <is>
          <t>把 bǎ (B+A)</t>
        </is>
      </c>
      <c r="F307" s="3" t="inlineStr">
        <is>
          <t>3</t>
        </is>
      </c>
    </row>
    <row r="308" ht="15.75" customHeight="1" s="9">
      <c r="A308" s="3" t="n">
        <v>3</v>
      </c>
      <c r="B308" s="3" t="inlineStr">
        <is>
          <t>搬</t>
        </is>
      </c>
      <c r="C308" s="3" t="inlineStr">
        <is>
          <t>bān</t>
        </is>
      </c>
      <c r="D308" s="4" t="inlineStr">
        <is>
          <t>move; carry</t>
        </is>
      </c>
      <c r="E308" s="3" t="inlineStr">
        <is>
          <t>搬 bān (B+AN)</t>
        </is>
      </c>
      <c r="F308" s="3" t="inlineStr">
        <is>
          <t>1</t>
        </is>
      </c>
    </row>
    <row r="309" ht="15.75" customHeight="1" s="9">
      <c r="A309" s="3" t="n">
        <v>3</v>
      </c>
      <c r="B309" s="3" t="inlineStr">
        <is>
          <t>班</t>
        </is>
      </c>
      <c r="C309" s="3" t="inlineStr">
        <is>
          <t>bān</t>
        </is>
      </c>
      <c r="D309" s="4" t="inlineStr">
        <is>
          <t>class; work shift</t>
        </is>
      </c>
      <c r="E309" s="3" t="inlineStr">
        <is>
          <t>班 bān (B+AN)</t>
        </is>
      </c>
      <c r="F309" s="3" t="inlineStr">
        <is>
          <t>1</t>
        </is>
      </c>
    </row>
    <row r="310" ht="15.75" customHeight="1" s="9">
      <c r="A310" s="3" t="n">
        <v>3</v>
      </c>
      <c r="B310" s="3" t="inlineStr">
        <is>
          <t>办法</t>
        </is>
      </c>
      <c r="C310" s="3" t="inlineStr">
        <is>
          <t>bàn fǎ</t>
        </is>
      </c>
      <c r="D310" s="4" t="inlineStr">
        <is>
          <t>method; way</t>
        </is>
      </c>
      <c r="E310" s="3" t="inlineStr">
        <is>
          <t>办 bàn (B+AN) · 法 fǎ (F+A)</t>
        </is>
      </c>
      <c r="F310" s="3" t="inlineStr">
        <is>
          <t>4-3</t>
        </is>
      </c>
    </row>
    <row r="311" ht="15.75" customHeight="1" s="9">
      <c r="A311" s="3" t="n">
        <v>3</v>
      </c>
      <c r="B311" s="3" t="inlineStr">
        <is>
          <t>办公室</t>
        </is>
      </c>
      <c r="C311" s="3" t="inlineStr">
        <is>
          <t>bàn gōng shì</t>
        </is>
      </c>
      <c r="D311" s="4" t="inlineStr">
        <is>
          <t>office</t>
        </is>
      </c>
      <c r="E311" s="3" t="inlineStr">
        <is>
          <t>办 bàn (B+AN) · 公 gōng (G+ONG) · 室 shì (SH+Ø (no final))</t>
        </is>
      </c>
      <c r="F311" s="3" t="inlineStr">
        <is>
          <t>4-1-4</t>
        </is>
      </c>
    </row>
    <row r="312" ht="15.75" customHeight="1" s="9">
      <c r="A312" s="3" t="n">
        <v>3</v>
      </c>
      <c r="B312" s="3" t="inlineStr">
        <is>
          <t>半</t>
        </is>
      </c>
      <c r="C312" s="3" t="inlineStr">
        <is>
          <t>bàn</t>
        </is>
      </c>
      <c r="D312" s="4" t="inlineStr">
        <is>
          <t>half</t>
        </is>
      </c>
      <c r="E312" s="3" t="inlineStr">
        <is>
          <t>半 bàn (B+AN)</t>
        </is>
      </c>
      <c r="F312" s="3" t="inlineStr">
        <is>
          <t>4</t>
        </is>
      </c>
    </row>
    <row r="313" ht="15.75" customHeight="1" s="9">
      <c r="A313" s="3" t="n">
        <v>3</v>
      </c>
      <c r="B313" s="3" t="inlineStr">
        <is>
          <t>帮忙</t>
        </is>
      </c>
      <c r="C313" s="3" t="inlineStr">
        <is>
          <t>bāng máng</t>
        </is>
      </c>
      <c r="D313" s="4" t="inlineStr">
        <is>
          <t>help; do a favor</t>
        </is>
      </c>
      <c r="E313" s="3" t="inlineStr">
        <is>
          <t>帮 bāng (B+ANG) · 忙 máng (M+ANG)</t>
        </is>
      </c>
      <c r="F313" s="3" t="inlineStr">
        <is>
          <t>1-2</t>
        </is>
      </c>
    </row>
    <row r="314" ht="15.75" customHeight="1" s="9">
      <c r="A314" s="3" t="n">
        <v>3</v>
      </c>
      <c r="B314" s="3" t="inlineStr">
        <is>
          <t>包</t>
        </is>
      </c>
      <c r="C314" s="3" t="inlineStr">
        <is>
          <t>bāo</t>
        </is>
      </c>
      <c r="D314" s="4" t="inlineStr">
        <is>
          <t>bag; wrap</t>
        </is>
      </c>
      <c r="E314" s="3" t="inlineStr">
        <is>
          <t>包 bāo (B+AO)</t>
        </is>
      </c>
      <c r="F314" s="3" t="inlineStr">
        <is>
          <t>1</t>
        </is>
      </c>
    </row>
    <row r="315" ht="15.75" customHeight="1" s="9">
      <c r="A315" s="3" t="n">
        <v>3</v>
      </c>
      <c r="B315" s="3" t="inlineStr">
        <is>
          <t>饱</t>
        </is>
      </c>
      <c r="C315" s="3" t="inlineStr">
        <is>
          <t>bǎo</t>
        </is>
      </c>
      <c r="D315" s="4" t="inlineStr">
        <is>
          <t>full</t>
        </is>
      </c>
      <c r="E315" s="3" t="inlineStr">
        <is>
          <t>饱 bǎo (B+AO)</t>
        </is>
      </c>
      <c r="F315" s="3" t="inlineStr">
        <is>
          <t>3</t>
        </is>
      </c>
    </row>
    <row r="316" ht="15.75" customHeight="1" s="9">
      <c r="A316" s="3" t="n">
        <v>3</v>
      </c>
      <c r="B316" s="3" t="inlineStr">
        <is>
          <t>北方</t>
        </is>
      </c>
      <c r="C316" s="3" t="inlineStr">
        <is>
          <t>běi fāng</t>
        </is>
      </c>
      <c r="D316" s="4" t="inlineStr">
        <is>
          <t>north</t>
        </is>
      </c>
      <c r="E316" s="3" t="inlineStr">
        <is>
          <t>北 běi (B+EI) · 方 fāng (F+ANG)</t>
        </is>
      </c>
      <c r="F316" s="3" t="inlineStr">
        <is>
          <t>3-1</t>
        </is>
      </c>
    </row>
    <row r="317" ht="15.75" customHeight="1" s="9">
      <c r="A317" s="3" t="n">
        <v>3</v>
      </c>
      <c r="B317" s="3" t="inlineStr">
        <is>
          <t>被</t>
        </is>
      </c>
      <c r="C317" s="3" t="inlineStr">
        <is>
          <t>bèi</t>
        </is>
      </c>
      <c r="D317" s="4" t="inlineStr">
        <is>
          <t>by; passive marker</t>
        </is>
      </c>
      <c r="E317" s="3" t="inlineStr">
        <is>
          <t>被 bèi (B+EI)</t>
        </is>
      </c>
      <c r="F317" s="3" t="inlineStr">
        <is>
          <t>4</t>
        </is>
      </c>
    </row>
    <row r="318" ht="15.75" customHeight="1" s="9">
      <c r="A318" s="3" t="n">
        <v>3</v>
      </c>
      <c r="B318" s="3" t="inlineStr">
        <is>
          <t>鼻子</t>
        </is>
      </c>
      <c r="C318" s="3" t="inlineStr">
        <is>
          <t>bí zi</t>
        </is>
      </c>
      <c r="D318" s="4" t="inlineStr">
        <is>
          <t>nose</t>
        </is>
      </c>
      <c r="E318" s="3" t="inlineStr">
        <is>
          <t>鼻 bí (B+I) · 子 zi (Z+Ø (no final))</t>
        </is>
      </c>
      <c r="F318" s="3" t="inlineStr">
        <is>
          <t>2-5</t>
        </is>
      </c>
    </row>
    <row r="319" ht="15.75" customHeight="1" s="9">
      <c r="A319" s="3" t="n">
        <v>3</v>
      </c>
      <c r="B319" s="3" t="inlineStr">
        <is>
          <t>比较</t>
        </is>
      </c>
      <c r="C319" s="3" t="inlineStr">
        <is>
          <t>bǐ jiào</t>
        </is>
      </c>
      <c r="D319" s="4" t="inlineStr">
        <is>
          <t>compare; relatively</t>
        </is>
      </c>
      <c r="E319" s="3" t="inlineStr">
        <is>
          <t>比 bǐ (B+I) · 较 jiào (J+IAO)</t>
        </is>
      </c>
      <c r="F319" s="3" t="inlineStr">
        <is>
          <t>3-4</t>
        </is>
      </c>
    </row>
    <row r="320" ht="15.75" customHeight="1" s="9">
      <c r="A320" s="3" t="n">
        <v>3</v>
      </c>
      <c r="B320" s="3" t="inlineStr">
        <is>
          <t>比赛</t>
        </is>
      </c>
      <c r="C320" s="3" t="inlineStr">
        <is>
          <t>bǐ sài</t>
        </is>
      </c>
      <c r="D320" s="4" t="inlineStr">
        <is>
          <t>competition; match</t>
        </is>
      </c>
      <c r="E320" s="3" t="inlineStr">
        <is>
          <t>比 bǐ (B+I) · 赛 sài (S+AI)</t>
        </is>
      </c>
      <c r="F320" s="3" t="inlineStr">
        <is>
          <t>3-4</t>
        </is>
      </c>
    </row>
    <row r="321" ht="15.75" customHeight="1" s="9">
      <c r="A321" s="3" t="n">
        <v>3</v>
      </c>
      <c r="B321" s="3" t="inlineStr">
        <is>
          <t>笔记本</t>
        </is>
      </c>
      <c r="C321" s="3" t="inlineStr">
        <is>
          <t>bǐ jì běn</t>
        </is>
      </c>
      <c r="D321" s="4" t="inlineStr">
        <is>
          <t>notebook</t>
        </is>
      </c>
      <c r="E321" s="3" t="inlineStr">
        <is>
          <t>笔 bǐ (B+I) · 记 jì (J+I) · 本 běn (B+(E)N)</t>
        </is>
      </c>
      <c r="F321" s="3" t="inlineStr">
        <is>
          <t>3-4-3</t>
        </is>
      </c>
    </row>
    <row r="322" ht="15.75" customHeight="1" s="9">
      <c r="A322" s="3" t="n">
        <v>3</v>
      </c>
      <c r="B322" s="3" t="inlineStr">
        <is>
          <t>必须</t>
        </is>
      </c>
      <c r="C322" s="3" t="inlineStr">
        <is>
          <t>bì xū</t>
        </is>
      </c>
      <c r="D322" s="4" t="inlineStr">
        <is>
          <t>must; have to</t>
        </is>
      </c>
      <c r="E322" s="3" t="inlineStr">
        <is>
          <t>必 bì (B+I) · 须 xū (X+U)</t>
        </is>
      </c>
      <c r="F322" s="3" t="inlineStr">
        <is>
          <t>4-1</t>
        </is>
      </c>
    </row>
    <row r="323" ht="15.75" customHeight="1" s="9">
      <c r="A323" s="3" t="n">
        <v>3</v>
      </c>
      <c r="B323" s="3" t="inlineStr">
        <is>
          <t>变化</t>
        </is>
      </c>
      <c r="C323" s="3" t="inlineStr">
        <is>
          <t>biàn huà</t>
        </is>
      </c>
      <c r="D323" s="4" t="inlineStr">
        <is>
          <t>change</t>
        </is>
      </c>
      <c r="E323" s="3" t="inlineStr">
        <is>
          <t>变 biàn (B+IAN) · 化 huà (H+UA)</t>
        </is>
      </c>
      <c r="F323" s="3" t="inlineStr">
        <is>
          <t>4-4</t>
        </is>
      </c>
    </row>
    <row r="324" ht="15.75" customHeight="1" s="9">
      <c r="A324" s="3" t="n">
        <v>3</v>
      </c>
      <c r="B324" s="3" t="inlineStr">
        <is>
          <t>别人</t>
        </is>
      </c>
      <c r="C324" s="3" t="inlineStr">
        <is>
          <t>bié rén</t>
        </is>
      </c>
      <c r="D324" s="4" t="inlineStr">
        <is>
          <t>other people</t>
        </is>
      </c>
      <c r="E324" s="3" t="inlineStr">
        <is>
          <t>别 bié (B+IE) · 人 rén (R+(E)N)</t>
        </is>
      </c>
      <c r="F324" s="3" t="inlineStr">
        <is>
          <t>2-2</t>
        </is>
      </c>
    </row>
    <row r="325" ht="15.75" customHeight="1" s="9">
      <c r="A325" s="3" t="n">
        <v>3</v>
      </c>
      <c r="B325" s="3" t="inlineStr">
        <is>
          <t>冰箱</t>
        </is>
      </c>
      <c r="C325" s="3" t="inlineStr">
        <is>
          <t>bīng xiāng</t>
        </is>
      </c>
      <c r="D325" s="4" t="inlineStr">
        <is>
          <t>refrigerator</t>
        </is>
      </c>
      <c r="E325" s="3" t="inlineStr">
        <is>
          <t>冰 bīng (B+ING) · 箱 xiāng (X+IANG)</t>
        </is>
      </c>
      <c r="F325" s="3" t="inlineStr">
        <is>
          <t>1-1</t>
        </is>
      </c>
    </row>
    <row r="326" ht="15.75" customHeight="1" s="9">
      <c r="A326" s="3" t="n">
        <v>3</v>
      </c>
      <c r="B326" s="3" t="inlineStr">
        <is>
          <t>不但…而且…</t>
        </is>
      </c>
      <c r="C326" s="3" t="inlineStr">
        <is>
          <t>bù dàn …ér qiě …</t>
        </is>
      </c>
      <c r="D326" s="4" t="inlineStr">
        <is>
          <t>not only…but also</t>
        </is>
      </c>
      <c r="E326" s="3" t="inlineStr">
        <is>
          <t>不 bù (B+U) · 但 dàn (D+AN) · 而 ér (Ø+ER) · 且 qiě (Q+IE)</t>
        </is>
      </c>
      <c r="F326" s="3" t="inlineStr">
        <is>
          <t>4-4-2-3</t>
        </is>
      </c>
    </row>
    <row r="327" ht="15.75" customHeight="1" s="9">
      <c r="A327" s="3" t="n">
        <v>3</v>
      </c>
      <c r="B327" s="3" t="inlineStr">
        <is>
          <t>菜单</t>
        </is>
      </c>
      <c r="C327" s="3" t="inlineStr">
        <is>
          <t>cài dān</t>
        </is>
      </c>
      <c r="D327" s="4" t="inlineStr">
        <is>
          <t>menu</t>
        </is>
      </c>
      <c r="E327" s="3" t="inlineStr">
        <is>
          <t>菜 cài (C+AI) · 单 dān (D+AN)</t>
        </is>
      </c>
      <c r="F327" s="3" t="inlineStr">
        <is>
          <t>4-1</t>
        </is>
      </c>
    </row>
    <row r="328" ht="15.75" customHeight="1" s="9">
      <c r="A328" s="3" t="n">
        <v>3</v>
      </c>
      <c r="B328" s="3" t="inlineStr">
        <is>
          <t>参加</t>
        </is>
      </c>
      <c r="C328" s="3" t="inlineStr">
        <is>
          <t>cān jiā</t>
        </is>
      </c>
      <c r="D328" s="4" t="inlineStr">
        <is>
          <t>participate</t>
        </is>
      </c>
      <c r="E328" s="3" t="inlineStr">
        <is>
          <t>参 cān (C+AN) · 加 jiā (J+IA)</t>
        </is>
      </c>
      <c r="F328" s="3" t="inlineStr">
        <is>
          <t>1-1</t>
        </is>
      </c>
    </row>
    <row r="329" ht="15.75" customHeight="1" s="9">
      <c r="A329" s="3" t="n">
        <v>3</v>
      </c>
      <c r="B329" s="3" t="inlineStr">
        <is>
          <t>草</t>
        </is>
      </c>
      <c r="C329" s="3" t="inlineStr">
        <is>
          <t>cǎo</t>
        </is>
      </c>
      <c r="D329" s="4" t="inlineStr">
        <is>
          <t>grass</t>
        </is>
      </c>
      <c r="E329" s="3" t="inlineStr">
        <is>
          <t>草 cǎo (C+AO)</t>
        </is>
      </c>
      <c r="F329" s="3" t="inlineStr">
        <is>
          <t>3</t>
        </is>
      </c>
    </row>
    <row r="330" ht="15.75" customHeight="1" s="9">
      <c r="A330" s="3" t="n">
        <v>3</v>
      </c>
      <c r="B330" s="3" t="inlineStr">
        <is>
          <t>层</t>
        </is>
      </c>
      <c r="C330" s="3" t="inlineStr">
        <is>
          <t>céng</t>
        </is>
      </c>
      <c r="D330" s="4" t="inlineStr">
        <is>
          <t>layer; floor</t>
        </is>
      </c>
      <c r="E330" s="3" t="inlineStr">
        <is>
          <t>层 céng (C+(E)NG)</t>
        </is>
      </c>
      <c r="F330" s="3" t="inlineStr">
        <is>
          <t>2</t>
        </is>
      </c>
    </row>
    <row r="331" ht="15.75" customHeight="1" s="9">
      <c r="A331" s="3" t="n">
        <v>3</v>
      </c>
      <c r="B331" s="3" t="inlineStr">
        <is>
          <t>差</t>
        </is>
      </c>
      <c r="C331" s="3" t="inlineStr">
        <is>
          <t>chà</t>
        </is>
      </c>
      <c r="D331" s="4" t="inlineStr">
        <is>
          <t>poor; differ</t>
        </is>
      </c>
      <c r="E331" s="3" t="inlineStr">
        <is>
          <t>差 chà (CH+A)</t>
        </is>
      </c>
      <c r="F331" s="3" t="inlineStr">
        <is>
          <t>4</t>
        </is>
      </c>
    </row>
    <row r="332" ht="15.75" customHeight="1" s="9">
      <c r="A332" s="3" t="n">
        <v>3</v>
      </c>
      <c r="B332" s="3" t="inlineStr">
        <is>
          <t>超市</t>
        </is>
      </c>
      <c r="C332" s="3" t="inlineStr">
        <is>
          <t>chāo shì</t>
        </is>
      </c>
      <c r="D332" s="4" t="inlineStr">
        <is>
          <t>supermarket</t>
        </is>
      </c>
      <c r="E332" s="3" t="inlineStr">
        <is>
          <t>超 chāo (CH+AO) · 市 shì (SH+Ø (no final))</t>
        </is>
      </c>
      <c r="F332" s="3" t="inlineStr">
        <is>
          <t>1-4</t>
        </is>
      </c>
    </row>
    <row r="333" ht="15.75" customHeight="1" s="9">
      <c r="A333" s="3" t="n">
        <v>3</v>
      </c>
      <c r="B333" s="3" t="inlineStr">
        <is>
          <t>衬衫</t>
        </is>
      </c>
      <c r="C333" s="3" t="inlineStr">
        <is>
          <t>chèn shān</t>
        </is>
      </c>
      <c r="D333" s="4" t="inlineStr">
        <is>
          <t>shirt</t>
        </is>
      </c>
      <c r="E333" s="3" t="inlineStr">
        <is>
          <t>衬 chèn (CH+(E)N) · 衫 shān (SH+AN)</t>
        </is>
      </c>
      <c r="F333" s="3" t="inlineStr">
        <is>
          <t>4-1</t>
        </is>
      </c>
    </row>
    <row r="334" ht="15.75" customHeight="1" s="9">
      <c r="A334" s="3" t="n">
        <v>3</v>
      </c>
      <c r="B334" s="3" t="inlineStr">
        <is>
          <t>城市</t>
        </is>
      </c>
      <c r="C334" s="3" t="inlineStr">
        <is>
          <t>chéng shì</t>
        </is>
      </c>
      <c r="D334" s="4" t="inlineStr">
        <is>
          <t>city</t>
        </is>
      </c>
      <c r="E334" s="3" t="inlineStr">
        <is>
          <t>城 chéng (CH+(E)NG) · 市 shì (SH+Ø (no final))</t>
        </is>
      </c>
      <c r="F334" s="3" t="inlineStr">
        <is>
          <t>2-4</t>
        </is>
      </c>
    </row>
    <row r="335" ht="15.75" customHeight="1" s="9">
      <c r="A335" s="3" t="n">
        <v>3</v>
      </c>
      <c r="B335" s="3" t="inlineStr">
        <is>
          <t>成绩</t>
        </is>
      </c>
      <c r="C335" s="3" t="inlineStr">
        <is>
          <t>chéng jì</t>
        </is>
      </c>
      <c r="D335" s="4" t="inlineStr">
        <is>
          <t>grade; achievement</t>
        </is>
      </c>
      <c r="E335" s="3" t="inlineStr">
        <is>
          <t>成 chéng (CH+(E)NG) · 绩 jì (J+I)</t>
        </is>
      </c>
      <c r="F335" s="3" t="inlineStr">
        <is>
          <t>2-4</t>
        </is>
      </c>
    </row>
    <row r="336" ht="15.75" customHeight="1" s="9">
      <c r="A336" s="3" t="n">
        <v>3</v>
      </c>
      <c r="B336" s="3" t="inlineStr">
        <is>
          <t>迟到</t>
        </is>
      </c>
      <c r="C336" s="3" t="inlineStr">
        <is>
          <t>chí dào</t>
        </is>
      </c>
      <c r="D336" s="4" t="inlineStr">
        <is>
          <t>arrive late</t>
        </is>
      </c>
      <c r="E336" s="3" t="inlineStr">
        <is>
          <t>迟 chí (CH+Ø (no final)) · 到 dào (D+AO)</t>
        </is>
      </c>
      <c r="F336" s="3" t="inlineStr">
        <is>
          <t>2-4</t>
        </is>
      </c>
    </row>
    <row r="337" ht="15.75" customHeight="1" s="9">
      <c r="A337" s="3" t="n">
        <v>3</v>
      </c>
      <c r="B337" s="3" t="inlineStr">
        <is>
          <t>除了</t>
        </is>
      </c>
      <c r="C337" s="3" t="inlineStr">
        <is>
          <t>chú le</t>
        </is>
      </c>
      <c r="D337" s="4" t="inlineStr">
        <is>
          <t>besides; except</t>
        </is>
      </c>
      <c r="E337" s="3" t="inlineStr">
        <is>
          <t>除 chú (CH+U) · 了 le (L+E)</t>
        </is>
      </c>
      <c r="F337" s="3" t="inlineStr">
        <is>
          <t>2-5</t>
        </is>
      </c>
    </row>
    <row r="338" ht="15.75" customHeight="1" s="9">
      <c r="A338" s="3" t="n">
        <v>3</v>
      </c>
      <c r="B338" s="3" t="inlineStr">
        <is>
          <t>船</t>
        </is>
      </c>
      <c r="C338" s="3" t="inlineStr">
        <is>
          <t>chuán</t>
        </is>
      </c>
      <c r="D338" s="4" t="inlineStr">
        <is>
          <t>boat</t>
        </is>
      </c>
      <c r="E338" s="3" t="inlineStr">
        <is>
          <t>船 chuán (CH+UAN (14th, Jacob-specific))</t>
        </is>
      </c>
      <c r="F338" s="3" t="inlineStr">
        <is>
          <t>2</t>
        </is>
      </c>
    </row>
    <row r="339" ht="15.75" customHeight="1" s="9">
      <c r="A339" s="3" t="n">
        <v>3</v>
      </c>
      <c r="B339" s="3" t="inlineStr">
        <is>
          <t>春</t>
        </is>
      </c>
      <c r="C339" s="3" t="inlineStr">
        <is>
          <t>chūn</t>
        </is>
      </c>
      <c r="D339" s="4" t="inlineStr">
        <is>
          <t>spring</t>
        </is>
      </c>
      <c r="E339" s="3" t="inlineStr">
        <is>
          <t>春 chūn (CH+UN)</t>
        </is>
      </c>
      <c r="F339" s="3" t="inlineStr">
        <is>
          <t>1</t>
        </is>
      </c>
    </row>
    <row r="340" ht="15.75" customHeight="1" s="9">
      <c r="A340" s="3" t="n">
        <v>3</v>
      </c>
      <c r="B340" s="3" t="inlineStr">
        <is>
          <t>词典</t>
        </is>
      </c>
      <c r="C340" s="3" t="inlineStr">
        <is>
          <t>cí diǎn</t>
        </is>
      </c>
      <c r="D340" s="4" t="inlineStr">
        <is>
          <t>dictionary</t>
        </is>
      </c>
      <c r="E340" s="3" t="inlineStr">
        <is>
          <t>词 cí (C+Ø (no final)) · 典 diǎn (D+IAN)</t>
        </is>
      </c>
      <c r="F340" s="3" t="inlineStr">
        <is>
          <t>2-3</t>
        </is>
      </c>
    </row>
    <row r="341" ht="15.75" customHeight="1" s="9">
      <c r="A341" s="3" t="n">
        <v>3</v>
      </c>
      <c r="B341" s="3" t="inlineStr">
        <is>
          <t>聪明</t>
        </is>
      </c>
      <c r="C341" s="3" t="inlineStr">
        <is>
          <t>cōng ming</t>
        </is>
      </c>
      <c r="D341" s="4" t="inlineStr">
        <is>
          <t>clever</t>
        </is>
      </c>
      <c r="E341" s="3" t="inlineStr">
        <is>
          <t>聪 cōng (C+ONG) · 明 ming (M+ING)</t>
        </is>
      </c>
      <c r="F341" s="3" t="inlineStr">
        <is>
          <t>1-5</t>
        </is>
      </c>
    </row>
    <row r="342" ht="15.75" customHeight="1" s="9">
      <c r="A342" s="3" t="n">
        <v>3</v>
      </c>
      <c r="B342" s="3" t="inlineStr">
        <is>
          <t>打扫</t>
        </is>
      </c>
      <c r="C342" s="3" t="inlineStr">
        <is>
          <t>dǎ sǎo</t>
        </is>
      </c>
      <c r="D342" s="4" t="inlineStr">
        <is>
          <t>clean; sweep</t>
        </is>
      </c>
      <c r="E342" s="3" t="inlineStr">
        <is>
          <t>打 dǎ (D+A) · 扫 sǎo (S+AO)</t>
        </is>
      </c>
      <c r="F342" s="3" t="inlineStr">
        <is>
          <t>3-3</t>
        </is>
      </c>
    </row>
    <row r="343" ht="15.75" customHeight="1" s="9">
      <c r="A343" s="3" t="n">
        <v>3</v>
      </c>
      <c r="B343" s="3" t="inlineStr">
        <is>
          <t>打算</t>
        </is>
      </c>
      <c r="C343" s="3" t="inlineStr">
        <is>
          <t>dǎ suàn</t>
        </is>
      </c>
      <c r="D343" s="4" t="inlineStr">
        <is>
          <t>plan; intend</t>
        </is>
      </c>
      <c r="E343" s="3" t="inlineStr">
        <is>
          <t>打 dǎ (D+A) · 算 suàn (S+UAN (14th, Jacob-specific))</t>
        </is>
      </c>
      <c r="F343" s="3" t="inlineStr">
        <is>
          <t>3-4</t>
        </is>
      </c>
    </row>
    <row r="344" ht="15.75" customHeight="1" s="9">
      <c r="A344" s="3" t="n">
        <v>3</v>
      </c>
      <c r="B344" s="3" t="inlineStr">
        <is>
          <t>带</t>
        </is>
      </c>
      <c r="C344" s="3" t="inlineStr">
        <is>
          <t>dài</t>
        </is>
      </c>
      <c r="D344" s="4" t="inlineStr">
        <is>
          <t>bring; carry; belt</t>
        </is>
      </c>
      <c r="E344" s="3" t="inlineStr">
        <is>
          <t>带 dài (D+AI)</t>
        </is>
      </c>
      <c r="F344" s="3" t="inlineStr">
        <is>
          <t>4</t>
        </is>
      </c>
    </row>
    <row r="345" ht="15.75" customHeight="1" s="9">
      <c r="A345" s="3" t="n">
        <v>3</v>
      </c>
      <c r="B345" s="3" t="inlineStr">
        <is>
          <t>担心</t>
        </is>
      </c>
      <c r="C345" s="3" t="inlineStr">
        <is>
          <t>dān xīn</t>
        </is>
      </c>
      <c r="D345" s="4" t="inlineStr">
        <is>
          <t>worry</t>
        </is>
      </c>
      <c r="E345" s="3" t="inlineStr">
        <is>
          <t>担 dān (D+AN) · 心 xīn (X+IN)</t>
        </is>
      </c>
      <c r="F345" s="3" t="inlineStr">
        <is>
          <t>1-1</t>
        </is>
      </c>
    </row>
    <row r="346" ht="15.75" customHeight="1" s="9">
      <c r="A346" s="3" t="n">
        <v>3</v>
      </c>
      <c r="B346" s="3" t="inlineStr">
        <is>
          <t>蛋糕</t>
        </is>
      </c>
      <c r="C346" s="3" t="inlineStr">
        <is>
          <t>dàn gāo</t>
        </is>
      </c>
      <c r="D346" s="4" t="inlineStr">
        <is>
          <t>cake</t>
        </is>
      </c>
      <c r="E346" s="3" t="inlineStr">
        <is>
          <t>蛋 dàn (D+AN) · 糕 gāo (G+AO)</t>
        </is>
      </c>
      <c r="F346" s="3" t="inlineStr">
        <is>
          <t>4-1</t>
        </is>
      </c>
    </row>
    <row r="347" ht="15.75" customHeight="1" s="9">
      <c r="A347" s="3" t="n">
        <v>3</v>
      </c>
      <c r="B347" s="3" t="inlineStr">
        <is>
          <t>当然</t>
        </is>
      </c>
      <c r="C347" s="3" t="inlineStr">
        <is>
          <t>dāng rán</t>
        </is>
      </c>
      <c r="D347" s="4" t="inlineStr">
        <is>
          <t>of course</t>
        </is>
      </c>
      <c r="E347" s="3" t="inlineStr">
        <is>
          <t>当 dāng (D+ANG) · 然 rán (R+AN)</t>
        </is>
      </c>
      <c r="F347" s="3" t="inlineStr">
        <is>
          <t>1-2</t>
        </is>
      </c>
    </row>
    <row r="348" ht="15.75" customHeight="1" s="9">
      <c r="A348" s="3" t="n">
        <v>3</v>
      </c>
      <c r="B348" s="3" t="inlineStr">
        <is>
          <t>地</t>
        </is>
      </c>
      <c r="C348" s="3" t="inlineStr">
        <is>
          <t>de</t>
        </is>
      </c>
      <c r="D348" s="4" t="inlineStr">
        <is>
          <t>adverbial particle</t>
        </is>
      </c>
      <c r="E348" s="3" t="inlineStr">
        <is>
          <t>地 de (D+E)</t>
        </is>
      </c>
      <c r="F348" s="3" t="inlineStr">
        <is>
          <t>5</t>
        </is>
      </c>
    </row>
    <row r="349" ht="15.75" customHeight="1" s="9">
      <c r="A349" s="3" t="n">
        <v>3</v>
      </c>
      <c r="B349" s="3" t="inlineStr">
        <is>
          <t>灯</t>
        </is>
      </c>
      <c r="C349" s="3" t="inlineStr">
        <is>
          <t>dēng</t>
        </is>
      </c>
      <c r="D349" s="4" t="inlineStr">
        <is>
          <t>lamp; light</t>
        </is>
      </c>
      <c r="E349" s="3" t="inlineStr">
        <is>
          <t>灯 dēng (D+(E)NG)</t>
        </is>
      </c>
      <c r="F349" s="3" t="inlineStr">
        <is>
          <t>1</t>
        </is>
      </c>
    </row>
    <row r="350" ht="15.75" customHeight="1" s="9">
      <c r="A350" s="3" t="n">
        <v>3</v>
      </c>
      <c r="B350" s="3" t="inlineStr">
        <is>
          <t>地方</t>
        </is>
      </c>
      <c r="C350" s="3" t="inlineStr">
        <is>
          <t>dì fang</t>
        </is>
      </c>
      <c r="D350" s="4" t="inlineStr">
        <is>
          <t>place; area</t>
        </is>
      </c>
      <c r="E350" s="3" t="inlineStr">
        <is>
          <t>地 dì (D+I) · 方 fang (F+ANG)</t>
        </is>
      </c>
      <c r="F350" s="3" t="inlineStr">
        <is>
          <t>4-5</t>
        </is>
      </c>
    </row>
    <row r="351" ht="15.75" customHeight="1" s="9">
      <c r="A351" s="3" t="n">
        <v>3</v>
      </c>
      <c r="B351" s="3" t="inlineStr">
        <is>
          <t>地铁</t>
        </is>
      </c>
      <c r="C351" s="3" t="inlineStr">
        <is>
          <t>dì tiě</t>
        </is>
      </c>
      <c r="D351" s="4" t="inlineStr">
        <is>
          <t>subway</t>
        </is>
      </c>
      <c r="E351" s="3" t="inlineStr">
        <is>
          <t>地 dì (D+I) · 铁 tiě (T+IE)</t>
        </is>
      </c>
      <c r="F351" s="3" t="inlineStr">
        <is>
          <t>4-3</t>
        </is>
      </c>
    </row>
    <row r="352" ht="15.75" customHeight="1" s="9">
      <c r="A352" s="3" t="n">
        <v>3</v>
      </c>
      <c r="B352" s="3" t="inlineStr">
        <is>
          <t>地图</t>
        </is>
      </c>
      <c r="C352" s="3" t="inlineStr">
        <is>
          <t>dì tú</t>
        </is>
      </c>
      <c r="D352" s="4" t="inlineStr">
        <is>
          <t>map</t>
        </is>
      </c>
      <c r="E352" s="3" t="inlineStr">
        <is>
          <t>地 dì (D+I) · 图 tú (T+U)</t>
        </is>
      </c>
      <c r="F352" s="3" t="inlineStr">
        <is>
          <t>4-2</t>
        </is>
      </c>
    </row>
    <row r="353" ht="15.75" customHeight="1" s="9">
      <c r="A353" s="3" t="n">
        <v>3</v>
      </c>
      <c r="B353" s="3" t="inlineStr">
        <is>
          <t>电梯</t>
        </is>
      </c>
      <c r="C353" s="3" t="inlineStr">
        <is>
          <t>diàn tī</t>
        </is>
      </c>
      <c r="D353" s="4" t="inlineStr">
        <is>
          <t>elevator</t>
        </is>
      </c>
      <c r="E353" s="3" t="inlineStr">
        <is>
          <t>电 diàn (D+IAN) · 梯 tī (T+I)</t>
        </is>
      </c>
      <c r="F353" s="3" t="inlineStr">
        <is>
          <t>4-1</t>
        </is>
      </c>
    </row>
    <row r="354" ht="15.75" customHeight="1" s="9">
      <c r="A354" s="3" t="n">
        <v>3</v>
      </c>
      <c r="B354" s="3" t="inlineStr">
        <is>
          <t>电子邮件</t>
        </is>
      </c>
      <c r="C354" s="3" t="inlineStr">
        <is>
          <t>diàn zǐ yóu jiàn</t>
        </is>
      </c>
      <c r="D354" s="4" t="inlineStr">
        <is>
          <t>email</t>
        </is>
      </c>
      <c r="E354" s="3" t="inlineStr">
        <is>
          <t>电 diàn (D+IAN) · 子 zǐ (Z+Ø (no final)) · 邮 yóu (Y+OU) · 件 jiàn (J+IAN)</t>
        </is>
      </c>
      <c r="F354" s="3" t="inlineStr">
        <is>
          <t>4-3-2-4</t>
        </is>
      </c>
    </row>
    <row r="355" ht="15.75" customHeight="1" s="9">
      <c r="A355" s="3" t="n">
        <v>3</v>
      </c>
      <c r="B355" s="3" t="inlineStr">
        <is>
          <t>东</t>
        </is>
      </c>
      <c r="C355" s="3" t="inlineStr">
        <is>
          <t>dōng</t>
        </is>
      </c>
      <c r="D355" s="4" t="inlineStr">
        <is>
          <t>east</t>
        </is>
      </c>
      <c r="E355" s="3" t="inlineStr">
        <is>
          <t>东 dōng (D+ONG)</t>
        </is>
      </c>
      <c r="F355" s="3" t="inlineStr">
        <is>
          <t>1</t>
        </is>
      </c>
    </row>
    <row r="356" ht="15.75" customHeight="1" s="9">
      <c r="A356" s="3" t="n">
        <v>3</v>
      </c>
      <c r="B356" s="3" t="inlineStr">
        <is>
          <t>冬</t>
        </is>
      </c>
      <c r="C356" s="3" t="inlineStr">
        <is>
          <t>dōng</t>
        </is>
      </c>
      <c r="D356" s="4" t="inlineStr">
        <is>
          <t>winter</t>
        </is>
      </c>
      <c r="E356" s="3" t="inlineStr">
        <is>
          <t>冬 dōng (D+ONG)</t>
        </is>
      </c>
      <c r="F356" s="3" t="inlineStr">
        <is>
          <t>1</t>
        </is>
      </c>
    </row>
    <row r="357" ht="15.75" customHeight="1" s="9">
      <c r="A357" s="3" t="n">
        <v>3</v>
      </c>
      <c r="B357" s="3" t="inlineStr">
        <is>
          <t>动物</t>
        </is>
      </c>
      <c r="C357" s="3" t="inlineStr">
        <is>
          <t>dòng wù</t>
        </is>
      </c>
      <c r="D357" s="4" t="inlineStr">
        <is>
          <t>animal</t>
        </is>
      </c>
      <c r="E357" s="3" t="inlineStr">
        <is>
          <t>动 dòng (D+ONG) · 物 wù (W+U)</t>
        </is>
      </c>
      <c r="F357" s="3" t="inlineStr">
        <is>
          <t>4-4</t>
        </is>
      </c>
    </row>
    <row r="358" ht="15.75" customHeight="1" s="9">
      <c r="A358" s="3" t="n">
        <v>3</v>
      </c>
      <c r="B358" s="3" t="inlineStr">
        <is>
          <t>短</t>
        </is>
      </c>
      <c r="C358" s="3" t="inlineStr">
        <is>
          <t>duǎn</t>
        </is>
      </c>
      <c r="D358" s="4" t="inlineStr">
        <is>
          <t>short</t>
        </is>
      </c>
      <c r="E358" s="3" t="inlineStr">
        <is>
          <t>短 duǎn (D+UAN (14th, Jacob-specific))</t>
        </is>
      </c>
      <c r="F358" s="3" t="inlineStr">
        <is>
          <t>3</t>
        </is>
      </c>
    </row>
    <row r="359" ht="15.75" customHeight="1" s="9">
      <c r="A359" s="3" t="n">
        <v>3</v>
      </c>
      <c r="B359" s="3" t="inlineStr">
        <is>
          <t>段</t>
        </is>
      </c>
      <c r="C359" s="3" t="inlineStr">
        <is>
          <t>duàn</t>
        </is>
      </c>
      <c r="D359" s="4" t="inlineStr">
        <is>
          <t>section; paragraph</t>
        </is>
      </c>
      <c r="E359" s="3" t="inlineStr">
        <is>
          <t>段 duàn (D+UAN (14th, Jacob-specific))</t>
        </is>
      </c>
      <c r="F359" s="3" t="inlineStr">
        <is>
          <t>4</t>
        </is>
      </c>
    </row>
    <row r="360" ht="15.75" customHeight="1" s="9">
      <c r="A360" s="3" t="n">
        <v>3</v>
      </c>
      <c r="B360" s="3" t="inlineStr">
        <is>
          <t>锻炼</t>
        </is>
      </c>
      <c r="C360" s="3" t="inlineStr">
        <is>
          <t>duàn liàn</t>
        </is>
      </c>
      <c r="D360" s="4" t="inlineStr">
        <is>
          <t>exercise; train</t>
        </is>
      </c>
      <c r="E360" s="3" t="inlineStr">
        <is>
          <t>锻 duàn (D+UAN (14th, Jacob-specific)) · 炼 liàn (L+IAN)</t>
        </is>
      </c>
      <c r="F360" s="3" t="inlineStr">
        <is>
          <t>4-4</t>
        </is>
      </c>
    </row>
    <row r="361" ht="15.75" customHeight="1" s="9">
      <c r="A361" s="3" t="n">
        <v>3</v>
      </c>
      <c r="B361" s="3" t="inlineStr">
        <is>
          <t>多么</t>
        </is>
      </c>
      <c r="C361" s="3" t="inlineStr">
        <is>
          <t>duō me</t>
        </is>
      </c>
      <c r="D361" s="4" t="inlineStr">
        <is>
          <t>how; what</t>
        </is>
      </c>
      <c r="E361" s="3" t="inlineStr">
        <is>
          <t>多 duō (D+UO) · 么 me (M+E)</t>
        </is>
      </c>
      <c r="F361" s="3" t="inlineStr">
        <is>
          <t>1-5</t>
        </is>
      </c>
    </row>
    <row r="362" ht="15.75" customHeight="1" s="9">
      <c r="A362" s="3" t="n">
        <v>3</v>
      </c>
      <c r="B362" s="3" t="inlineStr">
        <is>
          <t>饿</t>
        </is>
      </c>
      <c r="C362" s="3" t="inlineStr">
        <is>
          <t>è</t>
        </is>
      </c>
      <c r="D362" s="4" t="inlineStr">
        <is>
          <t>hungry</t>
        </is>
      </c>
      <c r="E362" s="3" t="inlineStr">
        <is>
          <t>饿 è (Ø+E)</t>
        </is>
      </c>
      <c r="F362" s="3" t="inlineStr">
        <is>
          <t>4</t>
        </is>
      </c>
    </row>
    <row r="363" ht="15.75" customHeight="1" s="9">
      <c r="A363" s="3" t="n">
        <v>3</v>
      </c>
      <c r="B363" s="3" t="inlineStr">
        <is>
          <t>耳朵</t>
        </is>
      </c>
      <c r="C363" s="3" t="inlineStr">
        <is>
          <t>ěr duo</t>
        </is>
      </c>
      <c r="D363" s="4" t="inlineStr">
        <is>
          <t>ear</t>
        </is>
      </c>
      <c r="E363" s="3" t="inlineStr">
        <is>
          <t>耳 ěr (Ø+ER) · 朵 duo (D+UO)</t>
        </is>
      </c>
      <c r="F363" s="3" t="inlineStr">
        <is>
          <t>3-5</t>
        </is>
      </c>
    </row>
    <row r="364" ht="15.75" customHeight="1" s="9">
      <c r="A364" s="3" t="n">
        <v>3</v>
      </c>
      <c r="B364" s="3" t="inlineStr">
        <is>
          <t>发</t>
        </is>
      </c>
      <c r="C364" s="3" t="inlineStr">
        <is>
          <t>fā</t>
        </is>
      </c>
      <c r="D364" s="4" t="inlineStr">
        <is>
          <t>send; issue</t>
        </is>
      </c>
      <c r="E364" s="3" t="inlineStr">
        <is>
          <t>发 fā (F+A)</t>
        </is>
      </c>
      <c r="F364" s="3" t="inlineStr">
        <is>
          <t>1</t>
        </is>
      </c>
    </row>
    <row r="365" ht="15.75" customHeight="1" s="9">
      <c r="A365" s="3" t="n">
        <v>3</v>
      </c>
      <c r="B365" s="3" t="inlineStr">
        <is>
          <t>发烧</t>
        </is>
      </c>
      <c r="C365" s="3" t="inlineStr">
        <is>
          <t>fā shāo</t>
        </is>
      </c>
      <c r="D365" s="4" t="inlineStr">
        <is>
          <t>have a fever</t>
        </is>
      </c>
      <c r="E365" s="3" t="inlineStr">
        <is>
          <t>发 fā (F+A) · 烧 shāo (SH+AO)</t>
        </is>
      </c>
      <c r="F365" s="3" t="inlineStr">
        <is>
          <t>1-1</t>
        </is>
      </c>
    </row>
    <row r="366" ht="15.75" customHeight="1" s="9">
      <c r="A366" s="3" t="n">
        <v>3</v>
      </c>
      <c r="B366" s="3" t="inlineStr">
        <is>
          <t>发现</t>
        </is>
      </c>
      <c r="C366" s="3" t="inlineStr">
        <is>
          <t>fā xiàn</t>
        </is>
      </c>
      <c r="D366" s="4" t="inlineStr">
        <is>
          <t>discover</t>
        </is>
      </c>
      <c r="E366" s="3" t="inlineStr">
        <is>
          <t>发 fā (F+A) · 现 xiàn (X+IAN)</t>
        </is>
      </c>
      <c r="F366" s="3" t="inlineStr">
        <is>
          <t>1-4</t>
        </is>
      </c>
    </row>
    <row r="367" ht="15.75" customHeight="1" s="9">
      <c r="A367" s="3" t="n">
        <v>3</v>
      </c>
      <c r="B367" s="3" t="inlineStr">
        <is>
          <t>方便</t>
        </is>
      </c>
      <c r="C367" s="3" t="inlineStr">
        <is>
          <t>fāng biàn</t>
        </is>
      </c>
      <c r="D367" s="4" t="inlineStr">
        <is>
          <t>convenient</t>
        </is>
      </c>
      <c r="E367" s="3" t="inlineStr">
        <is>
          <t>方 fāng (F+ANG) · 便 biàn (B+IAN)</t>
        </is>
      </c>
      <c r="F367" s="3" t="inlineStr">
        <is>
          <t>1-4</t>
        </is>
      </c>
    </row>
    <row r="368" ht="15.75" customHeight="1" s="9">
      <c r="A368" s="3" t="n">
        <v>3</v>
      </c>
      <c r="B368" s="3" t="inlineStr">
        <is>
          <t>放</t>
        </is>
      </c>
      <c r="C368" s="3" t="inlineStr">
        <is>
          <t>fàng</t>
        </is>
      </c>
      <c r="D368" s="4" t="inlineStr">
        <is>
          <t>put; release</t>
        </is>
      </c>
      <c r="E368" s="3" t="inlineStr">
        <is>
          <t>放 fàng (F+ANG)</t>
        </is>
      </c>
      <c r="F368" s="3" t="inlineStr">
        <is>
          <t>4</t>
        </is>
      </c>
    </row>
    <row r="369" ht="15.75" customHeight="1" s="9">
      <c r="A369" s="3" t="n">
        <v>3</v>
      </c>
      <c r="B369" s="3" t="inlineStr">
        <is>
          <t>放心</t>
        </is>
      </c>
      <c r="C369" s="3" t="inlineStr">
        <is>
          <t>fàng xīn</t>
        </is>
      </c>
      <c r="D369" s="4" t="inlineStr">
        <is>
          <t>feel relieved</t>
        </is>
      </c>
      <c r="E369" s="3" t="inlineStr">
        <is>
          <t>放 fàng (F+ANG) · 心 xīn (X+IN)</t>
        </is>
      </c>
      <c r="F369" s="3" t="inlineStr">
        <is>
          <t>4-1</t>
        </is>
      </c>
    </row>
    <row r="370" ht="15.75" customHeight="1" s="9">
      <c r="A370" s="3" t="n">
        <v>3</v>
      </c>
      <c r="B370" s="3" t="inlineStr">
        <is>
          <t>分</t>
        </is>
      </c>
      <c r="C370" s="3" t="inlineStr">
        <is>
          <t>fēn</t>
        </is>
      </c>
      <c r="D370" s="4" t="inlineStr">
        <is>
          <t>divide; point; cent</t>
        </is>
      </c>
      <c r="E370" s="3" t="inlineStr">
        <is>
          <t>分 fēn (F+(E)N)</t>
        </is>
      </c>
      <c r="F370" s="3" t="inlineStr">
        <is>
          <t>1</t>
        </is>
      </c>
    </row>
    <row r="371" ht="15.75" customHeight="1" s="9">
      <c r="A371" s="3" t="n">
        <v>3</v>
      </c>
      <c r="B371" s="3" t="inlineStr">
        <is>
          <t>复习</t>
        </is>
      </c>
      <c r="C371" s="3" t="inlineStr">
        <is>
          <t>fù xí</t>
        </is>
      </c>
      <c r="D371" s="4" t="inlineStr">
        <is>
          <t>review</t>
        </is>
      </c>
      <c r="E371" s="3" t="inlineStr">
        <is>
          <t>复 fù (F+U) · 习 xí (X+I)</t>
        </is>
      </c>
      <c r="F371" s="3" t="inlineStr">
        <is>
          <t>4-2</t>
        </is>
      </c>
    </row>
    <row r="372" ht="15.75" customHeight="1" s="9">
      <c r="A372" s="3" t="n">
        <v>3</v>
      </c>
      <c r="B372" s="3" t="inlineStr">
        <is>
          <t>附近</t>
        </is>
      </c>
      <c r="C372" s="3" t="inlineStr">
        <is>
          <t>fù jìn</t>
        </is>
      </c>
      <c r="D372" s="4" t="inlineStr">
        <is>
          <t>nearby</t>
        </is>
      </c>
      <c r="E372" s="3" t="inlineStr">
        <is>
          <t>附 fù (F+U) · 近 jìn (J+IN)</t>
        </is>
      </c>
      <c r="F372" s="3" t="inlineStr">
        <is>
          <t>4-4</t>
        </is>
      </c>
    </row>
    <row r="373" ht="15.75" customHeight="1" s="9">
      <c r="A373" s="3" t="n">
        <v>3</v>
      </c>
      <c r="B373" s="3" t="inlineStr">
        <is>
          <t>干净</t>
        </is>
      </c>
      <c r="C373" s="3" t="inlineStr">
        <is>
          <t>gān jìng</t>
        </is>
      </c>
      <c r="D373" s="4" t="inlineStr">
        <is>
          <t>clean</t>
        </is>
      </c>
      <c r="E373" s="3" t="inlineStr">
        <is>
          <t>干 gān (G+AN) · 净 jìng (J+ING)</t>
        </is>
      </c>
      <c r="F373" s="3" t="inlineStr">
        <is>
          <t>1-4</t>
        </is>
      </c>
    </row>
    <row r="374" ht="15.75" customHeight="1" s="9">
      <c r="A374" s="3" t="n">
        <v>3</v>
      </c>
      <c r="B374" s="3" t="inlineStr">
        <is>
          <t>感冒</t>
        </is>
      </c>
      <c r="C374" s="3" t="inlineStr">
        <is>
          <t>gǎn mào</t>
        </is>
      </c>
      <c r="D374" s="4" t="inlineStr">
        <is>
          <t>catch a cold</t>
        </is>
      </c>
      <c r="E374" s="3" t="inlineStr">
        <is>
          <t>感 gǎn (G+AN) · 冒 mào (M+AO)</t>
        </is>
      </c>
      <c r="F374" s="3" t="inlineStr">
        <is>
          <t>3-4</t>
        </is>
      </c>
    </row>
    <row r="375" ht="15.75" customHeight="1" s="9">
      <c r="A375" s="3" t="n">
        <v>3</v>
      </c>
      <c r="B375" s="3" t="inlineStr">
        <is>
          <t>感兴趣</t>
        </is>
      </c>
      <c r="C375" s="3" t="inlineStr">
        <is>
          <t>gǎn xìng qù</t>
        </is>
      </c>
      <c r="D375" s="4" t="inlineStr">
        <is>
          <t>be interested</t>
        </is>
      </c>
      <c r="E375" s="3" t="inlineStr">
        <is>
          <t>感 gǎn (G+AN) · 兴 xìng (X+ING) · 趣 qù (Q+U)</t>
        </is>
      </c>
      <c r="F375" s="3" t="inlineStr">
        <is>
          <t>3-4-4</t>
        </is>
      </c>
    </row>
    <row r="376" ht="15.75" customHeight="1" s="9">
      <c r="A376" s="3" t="n">
        <v>3</v>
      </c>
      <c r="B376" s="3" t="inlineStr">
        <is>
          <t>刚才</t>
        </is>
      </c>
      <c r="C376" s="3" t="inlineStr">
        <is>
          <t>gāng cái</t>
        </is>
      </c>
      <c r="D376" s="4" t="inlineStr">
        <is>
          <t>just now</t>
        </is>
      </c>
      <c r="E376" s="3" t="inlineStr">
        <is>
          <t>刚 gāng (G+ANG) · 才 cái (C+AI)</t>
        </is>
      </c>
      <c r="F376" s="3" t="inlineStr">
        <is>
          <t>1-2</t>
        </is>
      </c>
    </row>
    <row r="377" ht="15.75" customHeight="1" s="9">
      <c r="A377" s="3" t="n">
        <v>3</v>
      </c>
      <c r="B377" s="3" t="inlineStr">
        <is>
          <t>个子</t>
        </is>
      </c>
      <c r="C377" s="3" t="inlineStr">
        <is>
          <t>gè zi</t>
        </is>
      </c>
      <c r="D377" s="4" t="inlineStr">
        <is>
          <t>height</t>
        </is>
      </c>
      <c r="E377" s="3" t="inlineStr">
        <is>
          <t>个 gè (G+E) · 子 zi (Z+Ø (no final))</t>
        </is>
      </c>
      <c r="F377" s="3" t="inlineStr">
        <is>
          <t>4-5</t>
        </is>
      </c>
    </row>
    <row r="378" ht="15.75" customHeight="1" s="9">
      <c r="A378" s="3" t="n">
        <v>3</v>
      </c>
      <c r="B378" s="3" t="inlineStr">
        <is>
          <t>根据</t>
        </is>
      </c>
      <c r="C378" s="3" t="inlineStr">
        <is>
          <t>gēn jù</t>
        </is>
      </c>
      <c r="D378" s="4" t="inlineStr">
        <is>
          <t>according to; basis</t>
        </is>
      </c>
      <c r="E378" s="3" t="inlineStr">
        <is>
          <t>根 gēn (G+(E)N) · 据 jù (J+U)</t>
        </is>
      </c>
      <c r="F378" s="3" t="inlineStr">
        <is>
          <t>1-4</t>
        </is>
      </c>
    </row>
    <row r="379" ht="15.75" customHeight="1" s="9">
      <c r="A379" s="3" t="n">
        <v>3</v>
      </c>
      <c r="B379" s="3" t="inlineStr">
        <is>
          <t>跟</t>
        </is>
      </c>
      <c r="C379" s="3" t="inlineStr">
        <is>
          <t>gēn</t>
        </is>
      </c>
      <c r="D379" s="4" t="inlineStr">
        <is>
          <t>with; follow</t>
        </is>
      </c>
      <c r="E379" s="3" t="inlineStr">
        <is>
          <t>跟 gēn (G+(E)N)</t>
        </is>
      </c>
      <c r="F379" s="3" t="inlineStr">
        <is>
          <t>1</t>
        </is>
      </c>
    </row>
    <row r="380" ht="15.75" customHeight="1" s="9">
      <c r="A380" s="3" t="n">
        <v>3</v>
      </c>
      <c r="B380" s="3" t="inlineStr">
        <is>
          <t>更</t>
        </is>
      </c>
      <c r="C380" s="3" t="inlineStr">
        <is>
          <t>gèng</t>
        </is>
      </c>
      <c r="D380" s="4" t="inlineStr">
        <is>
          <t>more; even more</t>
        </is>
      </c>
      <c r="E380" s="3" t="inlineStr">
        <is>
          <t>更 gèng (G+(E)NG)</t>
        </is>
      </c>
      <c r="F380" s="3" t="inlineStr">
        <is>
          <t>4</t>
        </is>
      </c>
    </row>
    <row r="381" ht="15.75" customHeight="1" s="9">
      <c r="A381" s="3" t="n">
        <v>3</v>
      </c>
      <c r="B381" s="3" t="inlineStr">
        <is>
          <t>公斤</t>
        </is>
      </c>
      <c r="C381" s="3" t="inlineStr">
        <is>
          <t>gōng jīn</t>
        </is>
      </c>
      <c r="D381" s="4" t="inlineStr">
        <is>
          <t>kilogram</t>
        </is>
      </c>
      <c r="E381" s="3" t="inlineStr">
        <is>
          <t>公 gōng (G+ONG) · 斤 jīn (J+IN)</t>
        </is>
      </c>
      <c r="F381" s="3" t="inlineStr">
        <is>
          <t>1-1</t>
        </is>
      </c>
    </row>
    <row r="382" ht="15.75" customHeight="1" s="9">
      <c r="A382" s="3" t="n">
        <v>3</v>
      </c>
      <c r="B382" s="3" t="inlineStr">
        <is>
          <t>公园</t>
        </is>
      </c>
      <c r="C382" s="3" t="inlineStr">
        <is>
          <t>gōng yuán</t>
        </is>
      </c>
      <c r="D382" s="4" t="inlineStr">
        <is>
          <t>park</t>
        </is>
      </c>
      <c r="E382" s="3" t="inlineStr">
        <is>
          <t>公 gōng (G+ONG) · 园 yuán (Y+UAN (14th, Jacob-specific))</t>
        </is>
      </c>
      <c r="F382" s="3" t="inlineStr">
        <is>
          <t>1-2</t>
        </is>
      </c>
    </row>
    <row r="383" ht="15.75" customHeight="1" s="9">
      <c r="A383" s="3" t="n">
        <v>3</v>
      </c>
      <c r="B383" s="3" t="inlineStr">
        <is>
          <t>故事</t>
        </is>
      </c>
      <c r="C383" s="3" t="inlineStr">
        <is>
          <t>gù shi</t>
        </is>
      </c>
      <c r="D383" s="4" t="inlineStr">
        <is>
          <t>story</t>
        </is>
      </c>
      <c r="E383" s="3" t="inlineStr">
        <is>
          <t>故 gù (G+U) · 事 shi (SH+Ø (no final))</t>
        </is>
      </c>
      <c r="F383" s="3" t="inlineStr">
        <is>
          <t>4-5</t>
        </is>
      </c>
    </row>
    <row r="384" ht="15.75" customHeight="1" s="9">
      <c r="A384" s="3" t="n">
        <v>3</v>
      </c>
      <c r="B384" s="3" t="inlineStr">
        <is>
          <t>刮风</t>
        </is>
      </c>
      <c r="C384" s="3" t="inlineStr">
        <is>
          <t>guā fēng</t>
        </is>
      </c>
      <c r="D384" s="4" t="inlineStr">
        <is>
          <t>be windy</t>
        </is>
      </c>
      <c r="E384" s="3" t="inlineStr">
        <is>
          <t>刮 guā (G+UA) · 风 fēng (F+(E)NG)</t>
        </is>
      </c>
      <c r="F384" s="3" t="inlineStr">
        <is>
          <t>1-1</t>
        </is>
      </c>
    </row>
    <row r="385" ht="15.75" customHeight="1" s="9">
      <c r="A385" s="3" t="n">
        <v>3</v>
      </c>
      <c r="B385" s="3" t="inlineStr">
        <is>
          <t>关</t>
        </is>
      </c>
      <c r="C385" s="3" t="inlineStr">
        <is>
          <t>guān</t>
        </is>
      </c>
      <c r="D385" s="4" t="inlineStr">
        <is>
          <t>close; turn off</t>
        </is>
      </c>
      <c r="E385" s="3" t="inlineStr">
        <is>
          <t>关 guān (G+UAN (14th, Jacob-specific))</t>
        </is>
      </c>
      <c r="F385" s="3" t="inlineStr">
        <is>
          <t>1</t>
        </is>
      </c>
    </row>
    <row r="386" ht="15.75" customHeight="1" s="9">
      <c r="A386" s="3" t="n">
        <v>3</v>
      </c>
      <c r="B386" s="3" t="inlineStr">
        <is>
          <t>关系</t>
        </is>
      </c>
      <c r="C386" s="3" t="inlineStr">
        <is>
          <t>guān xì</t>
        </is>
      </c>
      <c r="D386" s="4" t="inlineStr">
        <is>
          <t>relationship</t>
        </is>
      </c>
      <c r="E386" s="3" t="inlineStr">
        <is>
          <t>关 guān (G+UAN (14th, Jacob-specific)) · 系 xì (X+I)</t>
        </is>
      </c>
      <c r="F386" s="3" t="inlineStr">
        <is>
          <t>1-4</t>
        </is>
      </c>
    </row>
    <row r="387" ht="15.75" customHeight="1" s="9">
      <c r="A387" s="3" t="n">
        <v>3</v>
      </c>
      <c r="B387" s="3" t="inlineStr">
        <is>
          <t>关心</t>
        </is>
      </c>
      <c r="C387" s="3" t="inlineStr">
        <is>
          <t>guān xīn</t>
        </is>
      </c>
      <c r="D387" s="4" t="inlineStr">
        <is>
          <t>care about</t>
        </is>
      </c>
      <c r="E387" s="3" t="inlineStr">
        <is>
          <t>关 guān (G+UAN (14th, Jacob-specific)) · 心 xīn (X+IN)</t>
        </is>
      </c>
      <c r="F387" s="3" t="inlineStr">
        <is>
          <t>1-1</t>
        </is>
      </c>
    </row>
    <row r="388" ht="15.75" customHeight="1" s="9">
      <c r="A388" s="3" t="n">
        <v>3</v>
      </c>
      <c r="B388" s="3" t="inlineStr">
        <is>
          <t>关于</t>
        </is>
      </c>
      <c r="C388" s="3" t="inlineStr">
        <is>
          <t>guān yú</t>
        </is>
      </c>
      <c r="D388" s="4" t="inlineStr">
        <is>
          <t>about; concerning</t>
        </is>
      </c>
      <c r="E388" s="3" t="inlineStr">
        <is>
          <t>关 guān (G+UAN (14th, Jacob-specific)) · 于 yú (Y+U)</t>
        </is>
      </c>
      <c r="F388" s="3" t="inlineStr">
        <is>
          <t>1-2</t>
        </is>
      </c>
    </row>
    <row r="389" ht="15.75" customHeight="1" s="9">
      <c r="A389" s="3" t="n">
        <v>3</v>
      </c>
      <c r="B389" s="3" t="inlineStr">
        <is>
          <t>国家</t>
        </is>
      </c>
      <c r="C389" s="3" t="inlineStr">
        <is>
          <t>guó jiā</t>
        </is>
      </c>
      <c r="D389" s="4" t="inlineStr">
        <is>
          <t>country</t>
        </is>
      </c>
      <c r="E389" s="3" t="inlineStr">
        <is>
          <t>国 guó (G+UO) · 家 jiā (J+IA)</t>
        </is>
      </c>
      <c r="F389" s="3" t="inlineStr">
        <is>
          <t>2-1</t>
        </is>
      </c>
    </row>
    <row r="390" ht="15.75" customHeight="1" s="9">
      <c r="A390" s="3" t="n">
        <v>3</v>
      </c>
      <c r="B390" s="3" t="inlineStr">
        <is>
          <t>过</t>
        </is>
      </c>
      <c r="C390" s="3" t="inlineStr">
        <is>
          <t>guò</t>
        </is>
      </c>
      <c r="D390" s="4" t="inlineStr">
        <is>
          <t>pass; cross</t>
        </is>
      </c>
      <c r="E390" s="3" t="inlineStr">
        <is>
          <t>过 guò (G+UO)</t>
        </is>
      </c>
      <c r="F390" s="3" t="inlineStr">
        <is>
          <t>4</t>
        </is>
      </c>
    </row>
    <row r="391" ht="15.75" customHeight="1" s="9">
      <c r="A391" s="3" t="n">
        <v>3</v>
      </c>
      <c r="B391" s="3" t="inlineStr">
        <is>
          <t>过去</t>
        </is>
      </c>
      <c r="C391" s="3" t="inlineStr">
        <is>
          <t>guò qu</t>
        </is>
      </c>
      <c r="D391" s="4" t="inlineStr">
        <is>
          <t>past; go over</t>
        </is>
      </c>
      <c r="E391" s="3" t="inlineStr">
        <is>
          <t>过 guò (G+UO) · 去 qu (Q+U)</t>
        </is>
      </c>
      <c r="F391" s="3" t="inlineStr">
        <is>
          <t>4-5</t>
        </is>
      </c>
    </row>
    <row r="392" ht="15.75" customHeight="1" s="9">
      <c r="A392" s="3" t="n">
        <v>3</v>
      </c>
      <c r="B392" s="3" t="inlineStr">
        <is>
          <t>还是</t>
        </is>
      </c>
      <c r="C392" s="3" t="inlineStr">
        <is>
          <t>hái shì</t>
        </is>
      </c>
      <c r="D392" s="4" t="inlineStr">
        <is>
          <t>or; still</t>
        </is>
      </c>
      <c r="E392" s="3" t="inlineStr">
        <is>
          <t>还 hái (H+AI) · 是 shì (SH+Ø (no final))</t>
        </is>
      </c>
      <c r="F392" s="3" t="inlineStr">
        <is>
          <t>2-4</t>
        </is>
      </c>
    </row>
    <row r="393" ht="15.75" customHeight="1" s="9">
      <c r="A393" s="3" t="n">
        <v>3</v>
      </c>
      <c r="B393" s="3" t="inlineStr">
        <is>
          <t>害怕</t>
        </is>
      </c>
      <c r="C393" s="3" t="inlineStr">
        <is>
          <t>hài pà</t>
        </is>
      </c>
      <c r="D393" s="4" t="inlineStr">
        <is>
          <t>be afraid</t>
        </is>
      </c>
      <c r="E393" s="3" t="inlineStr">
        <is>
          <t>害 hài (H+AI) · 怕 pà (P+A)</t>
        </is>
      </c>
      <c r="F393" s="3" t="inlineStr">
        <is>
          <t>4-4</t>
        </is>
      </c>
    </row>
    <row r="394" ht="15.75" customHeight="1" s="9">
      <c r="A394" s="3" t="n">
        <v>3</v>
      </c>
      <c r="B394" s="3" t="inlineStr">
        <is>
          <t>黑板</t>
        </is>
      </c>
      <c r="C394" s="3" t="inlineStr">
        <is>
          <t>hēi bǎn</t>
        </is>
      </c>
      <c r="D394" s="4" t="inlineStr">
        <is>
          <t>blackboard</t>
        </is>
      </c>
      <c r="E394" s="3" t="inlineStr">
        <is>
          <t>黑 hēi (H+EI) · 板 bǎn (B+AN)</t>
        </is>
      </c>
      <c r="F394" s="3" t="inlineStr">
        <is>
          <t>1-3</t>
        </is>
      </c>
    </row>
    <row r="395" ht="15.75" customHeight="1" s="9">
      <c r="A395" s="3" t="n">
        <v>3</v>
      </c>
      <c r="B395" s="3" t="inlineStr">
        <is>
          <t>后来</t>
        </is>
      </c>
      <c r="C395" s="3" t="inlineStr">
        <is>
          <t>hòu lái</t>
        </is>
      </c>
      <c r="D395" s="4" t="inlineStr">
        <is>
          <t>later; afterwards</t>
        </is>
      </c>
      <c r="E395" s="3" t="inlineStr">
        <is>
          <t>后 hòu (H+OU) · 来 lái (L+AI)</t>
        </is>
      </c>
      <c r="F395" s="3" t="inlineStr">
        <is>
          <t>4-2</t>
        </is>
      </c>
    </row>
    <row r="396" ht="15.75" customHeight="1" s="9">
      <c r="A396" s="3" t="n">
        <v>3</v>
      </c>
      <c r="B396" s="3" t="inlineStr">
        <is>
          <t>护照</t>
        </is>
      </c>
      <c r="C396" s="3" t="inlineStr">
        <is>
          <t>hù zhào</t>
        </is>
      </c>
      <c r="D396" s="4" t="inlineStr">
        <is>
          <t>passport</t>
        </is>
      </c>
      <c r="E396" s="3" t="inlineStr">
        <is>
          <t>护 hù (H+U) · 照 zhào (ZH+AO)</t>
        </is>
      </c>
      <c r="F396" s="3" t="inlineStr">
        <is>
          <t>4-4</t>
        </is>
      </c>
    </row>
    <row r="397" ht="15.75" customHeight="1" s="9">
      <c r="A397" s="3" t="n">
        <v>3</v>
      </c>
      <c r="B397" s="3" t="inlineStr">
        <is>
          <t>花</t>
        </is>
      </c>
      <c r="C397" s="3" t="inlineStr">
        <is>
          <t>huā</t>
        </is>
      </c>
      <c r="D397" s="4" t="inlineStr">
        <is>
          <t>spend; blossom</t>
        </is>
      </c>
      <c r="E397" s="3" t="inlineStr">
        <is>
          <t>花 huā (H+UA)</t>
        </is>
      </c>
      <c r="F397" s="3" t="inlineStr">
        <is>
          <t>1</t>
        </is>
      </c>
    </row>
    <row r="398" ht="15.75" customHeight="1" s="9">
      <c r="A398" s="3" t="n">
        <v>3</v>
      </c>
      <c r="B398" s="3" t="inlineStr">
        <is>
          <t>花</t>
        </is>
      </c>
      <c r="C398" s="3" t="inlineStr">
        <is>
          <t>huā</t>
        </is>
      </c>
      <c r="D398" s="4" t="inlineStr">
        <is>
          <t>flower</t>
        </is>
      </c>
      <c r="E398" s="3" t="inlineStr">
        <is>
          <t>花 huā (H+UA)</t>
        </is>
      </c>
      <c r="F398" s="3" t="inlineStr">
        <is>
          <t>1</t>
        </is>
      </c>
    </row>
    <row r="399" ht="15.75" customHeight="1" s="9">
      <c r="A399" s="3" t="n">
        <v>3</v>
      </c>
      <c r="B399" s="3" t="inlineStr">
        <is>
          <t>画</t>
        </is>
      </c>
      <c r="C399" s="3" t="inlineStr">
        <is>
          <t>huà</t>
        </is>
      </c>
      <c r="D399" s="4" t="inlineStr">
        <is>
          <t>draw; painting</t>
        </is>
      </c>
      <c r="E399" s="3" t="inlineStr">
        <is>
          <t>画 huà (H+UA)</t>
        </is>
      </c>
      <c r="F399" s="3" t="inlineStr">
        <is>
          <t>4</t>
        </is>
      </c>
    </row>
    <row r="400" ht="15.75" customHeight="1" s="9">
      <c r="A400" s="3" t="n">
        <v>3</v>
      </c>
      <c r="B400" s="3" t="inlineStr">
        <is>
          <t>坏</t>
        </is>
      </c>
      <c r="C400" s="3" t="inlineStr">
        <is>
          <t>huài</t>
        </is>
      </c>
      <c r="D400" s="4" t="inlineStr">
        <is>
          <t>bad; broken</t>
        </is>
      </c>
      <c r="E400" s="3" t="inlineStr">
        <is>
          <t>坏 huài (H+UAI)</t>
        </is>
      </c>
      <c r="F400" s="3" t="inlineStr">
        <is>
          <t>4</t>
        </is>
      </c>
    </row>
    <row r="401" ht="15.75" customHeight="1" s="9">
      <c r="A401" s="3" t="n">
        <v>3</v>
      </c>
      <c r="B401" s="3" t="inlineStr">
        <is>
          <t>欢迎</t>
        </is>
      </c>
      <c r="C401" s="3" t="inlineStr">
        <is>
          <t>huān yíng</t>
        </is>
      </c>
      <c r="D401" s="4" t="inlineStr">
        <is>
          <t>welcome</t>
        </is>
      </c>
      <c r="E401" s="3" t="inlineStr">
        <is>
          <t>欢 huān (H+UAN (14th, Jacob-specific)) · 迎 yíng (Y+ING)</t>
        </is>
      </c>
      <c r="F401" s="3" t="inlineStr">
        <is>
          <t>1-2</t>
        </is>
      </c>
    </row>
    <row r="402" ht="15.75" customHeight="1" s="9">
      <c r="A402" s="3" t="n">
        <v>3</v>
      </c>
      <c r="B402" s="3" t="inlineStr">
        <is>
          <t>环境</t>
        </is>
      </c>
      <c r="C402" s="3" t="inlineStr">
        <is>
          <t>huán jìng</t>
        </is>
      </c>
      <c r="D402" s="4" t="inlineStr">
        <is>
          <t>environment</t>
        </is>
      </c>
      <c r="E402" s="3" t="inlineStr">
        <is>
          <t>环 huán (H+UAN (14th, Jacob-specific)) · 境 jìng (J+ING)</t>
        </is>
      </c>
      <c r="F402" s="3" t="inlineStr">
        <is>
          <t>2-4</t>
        </is>
      </c>
    </row>
    <row r="403" ht="15.75" customHeight="1" s="9">
      <c r="A403" s="3" t="n">
        <v>3</v>
      </c>
      <c r="B403" s="3" t="inlineStr">
        <is>
          <t>还</t>
        </is>
      </c>
      <c r="C403" s="3" t="inlineStr">
        <is>
          <t>huán</t>
        </is>
      </c>
      <c r="D403" s="4" t="inlineStr">
        <is>
          <t>return; give back</t>
        </is>
      </c>
      <c r="E403" s="3" t="inlineStr">
        <is>
          <t>还 huán (H+UAN (14th, Jacob-specific))</t>
        </is>
      </c>
      <c r="F403" s="3" t="inlineStr">
        <is>
          <t>2</t>
        </is>
      </c>
    </row>
    <row r="404" ht="15.75" customHeight="1" s="9">
      <c r="A404" s="3" t="n">
        <v>3</v>
      </c>
      <c r="B404" s="3" t="inlineStr">
        <is>
          <t>换</t>
        </is>
      </c>
      <c r="C404" s="3" t="inlineStr">
        <is>
          <t>huàn</t>
        </is>
      </c>
      <c r="D404" s="4" t="inlineStr">
        <is>
          <t>change; exchange</t>
        </is>
      </c>
      <c r="E404" s="3" t="inlineStr">
        <is>
          <t>换 huàn (H+UAN (14th, Jacob-specific))</t>
        </is>
      </c>
      <c r="F404" s="3" t="inlineStr">
        <is>
          <t>4</t>
        </is>
      </c>
    </row>
    <row r="405" ht="15.75" customHeight="1" s="9">
      <c r="A405" s="3" t="n">
        <v>3</v>
      </c>
      <c r="B405" s="3" t="inlineStr">
        <is>
          <t>黄河</t>
        </is>
      </c>
      <c r="C405" s="3" t="inlineStr">
        <is>
          <t>huáng hé</t>
        </is>
      </c>
      <c r="D405" s="4" t="inlineStr">
        <is>
          <t>Yellow River</t>
        </is>
      </c>
      <c r="E405" s="3" t="inlineStr">
        <is>
          <t>黄 huáng (H+UANG) · 河 hé (H+E)</t>
        </is>
      </c>
      <c r="F405" s="3" t="inlineStr">
        <is>
          <t>2-2</t>
        </is>
      </c>
    </row>
    <row r="406" ht="15.75" customHeight="1" s="9">
      <c r="A406" s="3" t="n">
        <v>3</v>
      </c>
      <c r="B406" s="3" t="inlineStr">
        <is>
          <t>回答</t>
        </is>
      </c>
      <c r="C406" s="3" t="inlineStr">
        <is>
          <t>huí dá</t>
        </is>
      </c>
      <c r="D406" s="4" t="inlineStr">
        <is>
          <t>answer; reply</t>
        </is>
      </c>
      <c r="E406" s="3" t="inlineStr">
        <is>
          <t>回 huí (H+UI) · 答 dá (D+A)</t>
        </is>
      </c>
      <c r="F406" s="3" t="inlineStr">
        <is>
          <t>2-2</t>
        </is>
      </c>
    </row>
    <row r="407" ht="15.75" customHeight="1" s="9">
      <c r="A407" s="3" t="n">
        <v>3</v>
      </c>
      <c r="B407" s="3" t="inlineStr">
        <is>
          <t>会议</t>
        </is>
      </c>
      <c r="C407" s="3" t="inlineStr">
        <is>
          <t>huì yì</t>
        </is>
      </c>
      <c r="D407" s="4" t="inlineStr">
        <is>
          <t>meeting</t>
        </is>
      </c>
      <c r="E407" s="3" t="inlineStr">
        <is>
          <t>会 huì (H+UI) · 议 yì (Y+I)</t>
        </is>
      </c>
      <c r="F407" s="3" t="inlineStr">
        <is>
          <t>4-4</t>
        </is>
      </c>
    </row>
    <row r="408" ht="15.75" customHeight="1" s="9">
      <c r="A408" s="3" t="n">
        <v>3</v>
      </c>
      <c r="B408" s="3" t="inlineStr">
        <is>
          <t>或者</t>
        </is>
      </c>
      <c r="C408" s="3" t="inlineStr">
        <is>
          <t>huò zhě</t>
        </is>
      </c>
      <c r="D408" s="4" t="inlineStr">
        <is>
          <t>or; perhaps</t>
        </is>
      </c>
      <c r="E408" s="3" t="inlineStr">
        <is>
          <t>或 huò (H+UO) · 者 zhě (ZH+E)</t>
        </is>
      </c>
      <c r="F408" s="3" t="inlineStr">
        <is>
          <t>4-3</t>
        </is>
      </c>
    </row>
    <row r="409" ht="15.75" customHeight="1" s="9">
      <c r="A409" s="3" t="n">
        <v>3</v>
      </c>
      <c r="B409" s="3" t="inlineStr">
        <is>
          <t>几乎</t>
        </is>
      </c>
      <c r="C409" s="3" t="inlineStr">
        <is>
          <t>jī hū</t>
        </is>
      </c>
      <c r="D409" s="4" t="inlineStr">
        <is>
          <t>almost</t>
        </is>
      </c>
      <c r="E409" s="3" t="inlineStr">
        <is>
          <t>几 jī (J+I) · 乎 hū (H+U)</t>
        </is>
      </c>
      <c r="F409" s="3" t="inlineStr">
        <is>
          <t>1-1</t>
        </is>
      </c>
    </row>
    <row r="410" ht="15.75" customHeight="1" s="9">
      <c r="A410" s="3" t="n">
        <v>3</v>
      </c>
      <c r="B410" s="3" t="inlineStr">
        <is>
          <t>机会</t>
        </is>
      </c>
      <c r="C410" s="3" t="inlineStr">
        <is>
          <t>jī huì</t>
        </is>
      </c>
      <c r="D410" s="4" t="inlineStr">
        <is>
          <t>opportunity</t>
        </is>
      </c>
      <c r="E410" s="3" t="inlineStr">
        <is>
          <t>机 jī (J+I) · 会 huì (H+UI)</t>
        </is>
      </c>
      <c r="F410" s="3" t="inlineStr">
        <is>
          <t>1-4</t>
        </is>
      </c>
    </row>
    <row r="411" ht="15.75" customHeight="1" s="9">
      <c r="A411" s="3" t="n">
        <v>3</v>
      </c>
      <c r="B411" s="3" t="inlineStr">
        <is>
          <t>极</t>
        </is>
      </c>
      <c r="C411" s="3" t="inlineStr">
        <is>
          <t>jí</t>
        </is>
      </c>
      <c r="D411" s="4" t="inlineStr">
        <is>
          <t>extremely</t>
        </is>
      </c>
      <c r="E411" s="3" t="inlineStr">
        <is>
          <t>极 jí (J+I)</t>
        </is>
      </c>
      <c r="F411" s="3" t="inlineStr">
        <is>
          <t>2</t>
        </is>
      </c>
    </row>
    <row r="412" ht="15.75" customHeight="1" s="9">
      <c r="A412" s="3" t="n">
        <v>3</v>
      </c>
      <c r="B412" s="3" t="inlineStr">
        <is>
          <t>季节</t>
        </is>
      </c>
      <c r="C412" s="3" t="inlineStr">
        <is>
          <t>jì jié</t>
        </is>
      </c>
      <c r="D412" s="4" t="inlineStr">
        <is>
          <t>season</t>
        </is>
      </c>
      <c r="E412" s="3" t="inlineStr">
        <is>
          <t>季 jì (J+I) · 节 jié (J+IE)</t>
        </is>
      </c>
      <c r="F412" s="3" t="inlineStr">
        <is>
          <t>4-2</t>
        </is>
      </c>
    </row>
    <row r="413" ht="15.75" customHeight="1" s="9">
      <c r="A413" s="3" t="n">
        <v>3</v>
      </c>
      <c r="B413" s="3" t="inlineStr">
        <is>
          <t>记得</t>
        </is>
      </c>
      <c r="C413" s="3" t="inlineStr">
        <is>
          <t>jì de</t>
        </is>
      </c>
      <c r="D413" s="4" t="inlineStr">
        <is>
          <t>remember</t>
        </is>
      </c>
      <c r="E413" s="3" t="inlineStr">
        <is>
          <t>记 jì (J+I) · 得 de (D+E)</t>
        </is>
      </c>
      <c r="F413" s="3" t="inlineStr">
        <is>
          <t>4-5</t>
        </is>
      </c>
    </row>
    <row r="414" ht="15.75" customHeight="1" s="9">
      <c r="A414" s="3" t="n">
        <v>3</v>
      </c>
      <c r="B414" s="3" t="inlineStr">
        <is>
          <t>检查</t>
        </is>
      </c>
      <c r="C414" s="3" t="inlineStr">
        <is>
          <t>jiǎn chá</t>
        </is>
      </c>
      <c r="D414" s="4" t="inlineStr">
        <is>
          <t>inspect; check</t>
        </is>
      </c>
      <c r="E414" s="3" t="inlineStr">
        <is>
          <t>检 jiǎn (J+IAN) · 查 chá (CH+A)</t>
        </is>
      </c>
      <c r="F414" s="3" t="inlineStr">
        <is>
          <t>3-2</t>
        </is>
      </c>
    </row>
    <row r="415" ht="15.75" customHeight="1" s="9">
      <c r="A415" s="3" t="n">
        <v>3</v>
      </c>
      <c r="B415" s="3" t="inlineStr">
        <is>
          <t>简单</t>
        </is>
      </c>
      <c r="C415" s="3" t="inlineStr">
        <is>
          <t>jiǎn dān</t>
        </is>
      </c>
      <c r="D415" s="4" t="inlineStr">
        <is>
          <t>simple</t>
        </is>
      </c>
      <c r="E415" s="3" t="inlineStr">
        <is>
          <t>简 jiǎn (J+IAN) · 单 dān (D+AN)</t>
        </is>
      </c>
      <c r="F415" s="3" t="inlineStr">
        <is>
          <t>3-1</t>
        </is>
      </c>
    </row>
    <row r="416" ht="15.75" customHeight="1" s="9">
      <c r="A416" s="3" t="n">
        <v>3</v>
      </c>
      <c r="B416" s="3" t="inlineStr">
        <is>
          <t>健康</t>
        </is>
      </c>
      <c r="C416" s="3" t="inlineStr">
        <is>
          <t>jiàn kāng</t>
        </is>
      </c>
      <c r="D416" s="4" t="inlineStr">
        <is>
          <t>health; healthy</t>
        </is>
      </c>
      <c r="E416" s="3" t="inlineStr">
        <is>
          <t>健 jiàn (J+IAN) · 康 kāng (K+ANG)</t>
        </is>
      </c>
      <c r="F416" s="3" t="inlineStr">
        <is>
          <t>4-1</t>
        </is>
      </c>
    </row>
    <row r="417" ht="15.75" customHeight="1" s="9">
      <c r="A417" s="3" t="n">
        <v>3</v>
      </c>
      <c r="B417" s="3" t="inlineStr">
        <is>
          <t>见面</t>
        </is>
      </c>
      <c r="C417" s="3" t="inlineStr">
        <is>
          <t>jiàn miàn</t>
        </is>
      </c>
      <c r="D417" s="4" t="inlineStr">
        <is>
          <t>meet</t>
        </is>
      </c>
      <c r="E417" s="3" t="inlineStr">
        <is>
          <t>见 jiàn (J+IAN) · 面 miàn (M+IAN)</t>
        </is>
      </c>
      <c r="F417" s="3" t="inlineStr">
        <is>
          <t>4-4</t>
        </is>
      </c>
    </row>
    <row r="418" ht="15.75" customHeight="1" s="9">
      <c r="A418" s="3" t="n">
        <v>3</v>
      </c>
      <c r="B418" s="3" t="inlineStr">
        <is>
          <t>讲</t>
        </is>
      </c>
      <c r="C418" s="3" t="inlineStr">
        <is>
          <t>jiǎng</t>
        </is>
      </c>
      <c r="D418" s="4" t="inlineStr">
        <is>
          <t>speak; explain</t>
        </is>
      </c>
      <c r="E418" s="3" t="inlineStr">
        <is>
          <t>讲 jiǎng (J+IANG)</t>
        </is>
      </c>
      <c r="F418" s="3" t="inlineStr">
        <is>
          <t>3</t>
        </is>
      </c>
    </row>
    <row r="419" ht="15.75" customHeight="1" s="9">
      <c r="A419" s="3" t="n">
        <v>3</v>
      </c>
      <c r="B419" s="3" t="inlineStr">
        <is>
          <t>教</t>
        </is>
      </c>
      <c r="C419" s="3" t="inlineStr">
        <is>
          <t>jiào</t>
        </is>
      </c>
      <c r="D419" s="4" t="inlineStr">
        <is>
          <t>teach</t>
        </is>
      </c>
      <c r="E419" s="3" t="inlineStr">
        <is>
          <t>教 jiào (J+IAO)</t>
        </is>
      </c>
      <c r="F419" s="3" t="inlineStr">
        <is>
          <t>4</t>
        </is>
      </c>
    </row>
    <row r="420" ht="15.75" customHeight="1" s="9">
      <c r="A420" s="3" t="n">
        <v>3</v>
      </c>
      <c r="B420" s="3" t="inlineStr">
        <is>
          <t>脚</t>
        </is>
      </c>
      <c r="C420" s="3" t="inlineStr">
        <is>
          <t>jiǎo</t>
        </is>
      </c>
      <c r="D420" s="4" t="inlineStr">
        <is>
          <t>foot</t>
        </is>
      </c>
      <c r="E420" s="3" t="inlineStr">
        <is>
          <t>脚 jiǎo (J+IAO)</t>
        </is>
      </c>
      <c r="F420" s="3" t="inlineStr">
        <is>
          <t>3</t>
        </is>
      </c>
    </row>
    <row r="421" ht="15.75" customHeight="1" s="9">
      <c r="A421" s="3" t="n">
        <v>3</v>
      </c>
      <c r="B421" s="3" t="inlineStr">
        <is>
          <t>角</t>
        </is>
      </c>
      <c r="C421" s="3" t="inlineStr">
        <is>
          <t>jiǎo</t>
        </is>
      </c>
      <c r="D421" s="4" t="inlineStr">
        <is>
          <t>corner; angle</t>
        </is>
      </c>
      <c r="E421" s="3" t="inlineStr">
        <is>
          <t>角 jiǎo (J+IAO)</t>
        </is>
      </c>
      <c r="F421" s="3" t="inlineStr">
        <is>
          <t>3</t>
        </is>
      </c>
    </row>
    <row r="422" ht="15.75" customHeight="1" s="9">
      <c r="A422" s="3" t="n">
        <v>3</v>
      </c>
      <c r="B422" s="3" t="inlineStr">
        <is>
          <t>接</t>
        </is>
      </c>
      <c r="C422" s="3" t="inlineStr">
        <is>
          <t>jiē</t>
        </is>
      </c>
      <c r="D422" s="4" t="inlineStr">
        <is>
          <t>receive; connect; meet</t>
        </is>
      </c>
      <c r="E422" s="3" t="inlineStr">
        <is>
          <t>接 jiē (J+IE)</t>
        </is>
      </c>
      <c r="F422" s="3" t="inlineStr">
        <is>
          <t>1</t>
        </is>
      </c>
    </row>
    <row r="423" ht="15.75" customHeight="1" s="9">
      <c r="A423" s="3" t="n">
        <v>3</v>
      </c>
      <c r="B423" s="3" t="inlineStr">
        <is>
          <t>街道</t>
        </is>
      </c>
      <c r="C423" s="3" t="inlineStr">
        <is>
          <t>jiē dào</t>
        </is>
      </c>
      <c r="D423" s="4" t="inlineStr">
        <is>
          <t>street</t>
        </is>
      </c>
      <c r="E423" s="3" t="inlineStr">
        <is>
          <t>街 jiē (J+IE) · 道 dào (D+AO)</t>
        </is>
      </c>
      <c r="F423" s="3" t="inlineStr">
        <is>
          <t>1-4</t>
        </is>
      </c>
    </row>
    <row r="424" ht="15.75" customHeight="1" s="9">
      <c r="A424" s="3" t="n">
        <v>3</v>
      </c>
      <c r="B424" s="3" t="inlineStr">
        <is>
          <t>结婚</t>
        </is>
      </c>
      <c r="C424" s="3" t="inlineStr">
        <is>
          <t>jié hūn</t>
        </is>
      </c>
      <c r="D424" s="4" t="inlineStr">
        <is>
          <t>get married</t>
        </is>
      </c>
      <c r="E424" s="3" t="inlineStr">
        <is>
          <t>结 jié (J+IE) · 婚 hūn (H+UN)</t>
        </is>
      </c>
      <c r="F424" s="3" t="inlineStr">
        <is>
          <t>2-1</t>
        </is>
      </c>
    </row>
    <row r="425" ht="15.75" customHeight="1" s="9">
      <c r="A425" s="3" t="n">
        <v>3</v>
      </c>
      <c r="B425" s="3" t="inlineStr">
        <is>
          <t>结束</t>
        </is>
      </c>
      <c r="C425" s="3" t="inlineStr">
        <is>
          <t>jié shù</t>
        </is>
      </c>
      <c r="D425" s="4" t="inlineStr">
        <is>
          <t>finish; end</t>
        </is>
      </c>
      <c r="E425" s="3" t="inlineStr">
        <is>
          <t>结 jié (J+IE) · 束 shù (SH+U)</t>
        </is>
      </c>
      <c r="F425" s="3" t="inlineStr">
        <is>
          <t>2-4</t>
        </is>
      </c>
    </row>
    <row r="426" ht="15.75" customHeight="1" s="9">
      <c r="A426" s="3" t="n">
        <v>3</v>
      </c>
      <c r="B426" s="3" t="inlineStr">
        <is>
          <t>节目</t>
        </is>
      </c>
      <c r="C426" s="3" t="inlineStr">
        <is>
          <t>jié mù</t>
        </is>
      </c>
      <c r="D426" s="4" t="inlineStr">
        <is>
          <t>program</t>
        </is>
      </c>
      <c r="E426" s="3" t="inlineStr">
        <is>
          <t>节 jié (J+IE) · 目 mù (M+U)</t>
        </is>
      </c>
      <c r="F426" s="3" t="inlineStr">
        <is>
          <t>2-4</t>
        </is>
      </c>
    </row>
    <row r="427" ht="15.75" customHeight="1" s="9">
      <c r="A427" s="3" t="n">
        <v>3</v>
      </c>
      <c r="B427" s="3" t="inlineStr">
        <is>
          <t>节日</t>
        </is>
      </c>
      <c r="C427" s="3" t="inlineStr">
        <is>
          <t>jié rì</t>
        </is>
      </c>
      <c r="D427" s="4" t="inlineStr">
        <is>
          <t>festival; holiday</t>
        </is>
      </c>
      <c r="E427" s="3" t="inlineStr">
        <is>
          <t>节 jié (J+IE) · 日 rì (R+Ø (no final))</t>
        </is>
      </c>
      <c r="F427" s="3" t="inlineStr">
        <is>
          <t>2-4</t>
        </is>
      </c>
    </row>
    <row r="428" ht="15.75" customHeight="1" s="9">
      <c r="A428" s="3" t="n">
        <v>3</v>
      </c>
      <c r="B428" s="3" t="inlineStr">
        <is>
          <t>解决</t>
        </is>
      </c>
      <c r="C428" s="3" t="inlineStr">
        <is>
          <t>jiě jué</t>
        </is>
      </c>
      <c r="D428" s="4" t="inlineStr">
        <is>
          <t>solve</t>
        </is>
      </c>
      <c r="E428" s="3" t="inlineStr">
        <is>
          <t>解 jiě (J+IE) · 决 jué (J+UE)</t>
        </is>
      </c>
      <c r="F428" s="3" t="inlineStr">
        <is>
          <t>3-2</t>
        </is>
      </c>
    </row>
    <row r="429" ht="15.75" customHeight="1" s="9">
      <c r="A429" s="3" t="n">
        <v>3</v>
      </c>
      <c r="B429" s="3" t="inlineStr">
        <is>
          <t>借</t>
        </is>
      </c>
      <c r="C429" s="3" t="inlineStr">
        <is>
          <t>jiè</t>
        </is>
      </c>
      <c r="D429" s="4" t="inlineStr">
        <is>
          <t>borrow; lend</t>
        </is>
      </c>
      <c r="E429" s="3" t="inlineStr">
        <is>
          <t>借 jiè (J+IE)</t>
        </is>
      </c>
      <c r="F429" s="3" t="inlineStr">
        <is>
          <t>4</t>
        </is>
      </c>
    </row>
    <row r="430" ht="15.75" customHeight="1" s="9">
      <c r="A430" s="3" t="n">
        <v>3</v>
      </c>
      <c r="B430" s="3" t="inlineStr">
        <is>
          <t>经常</t>
        </is>
      </c>
      <c r="C430" s="3" t="inlineStr">
        <is>
          <t>jīng cháng</t>
        </is>
      </c>
      <c r="D430" s="4" t="inlineStr">
        <is>
          <t>often</t>
        </is>
      </c>
      <c r="E430" s="3" t="inlineStr">
        <is>
          <t>经 jīng (J+ING) · 常 cháng (CH+ANG)</t>
        </is>
      </c>
      <c r="F430" s="3" t="inlineStr">
        <is>
          <t>1-2</t>
        </is>
      </c>
    </row>
    <row r="431" ht="15.75" customHeight="1" s="9">
      <c r="A431" s="3" t="n">
        <v>3</v>
      </c>
      <c r="B431" s="3" t="inlineStr">
        <is>
          <t>经过</t>
        </is>
      </c>
      <c r="C431" s="3" t="inlineStr">
        <is>
          <t>jīng guò</t>
        </is>
      </c>
      <c r="D431" s="4" t="inlineStr">
        <is>
          <t>pass; through</t>
        </is>
      </c>
      <c r="E431" s="3" t="inlineStr">
        <is>
          <t>经 jīng (J+ING) · 过 guò (G+UO)</t>
        </is>
      </c>
      <c r="F431" s="3" t="inlineStr">
        <is>
          <t>1-4</t>
        </is>
      </c>
    </row>
    <row r="432" ht="15.75" customHeight="1" s="9">
      <c r="A432" s="3" t="n">
        <v>3</v>
      </c>
      <c r="B432" s="3" t="inlineStr">
        <is>
          <t>经理</t>
        </is>
      </c>
      <c r="C432" s="3" t="inlineStr">
        <is>
          <t>jīng lǐ</t>
        </is>
      </c>
      <c r="D432" s="4" t="inlineStr">
        <is>
          <t>manager</t>
        </is>
      </c>
      <c r="E432" s="3" t="inlineStr">
        <is>
          <t>经 jīng (J+ING) · 理 lǐ (L+I)</t>
        </is>
      </c>
      <c r="F432" s="3" t="inlineStr">
        <is>
          <t>1-3</t>
        </is>
      </c>
    </row>
    <row r="433" ht="15.75" customHeight="1" s="9">
      <c r="A433" s="3" t="n">
        <v>3</v>
      </c>
      <c r="B433" s="3" t="inlineStr">
        <is>
          <t>久</t>
        </is>
      </c>
      <c r="C433" s="3" t="inlineStr">
        <is>
          <t>jiǔ</t>
        </is>
      </c>
      <c r="D433" s="4" t="inlineStr">
        <is>
          <t>long time</t>
        </is>
      </c>
      <c r="E433" s="3" t="inlineStr">
        <is>
          <t>久 jiǔ (J+IU)</t>
        </is>
      </c>
      <c r="F433" s="3" t="inlineStr">
        <is>
          <t>3</t>
        </is>
      </c>
    </row>
    <row r="434" ht="15.75" customHeight="1" s="9">
      <c r="A434" s="3" t="n">
        <v>3</v>
      </c>
      <c r="B434" s="3" t="inlineStr">
        <is>
          <t>旧</t>
        </is>
      </c>
      <c r="C434" s="3" t="inlineStr">
        <is>
          <t>jiù</t>
        </is>
      </c>
      <c r="D434" s="4" t="inlineStr">
        <is>
          <t>old</t>
        </is>
      </c>
      <c r="E434" s="3" t="inlineStr">
        <is>
          <t>旧 jiù (J+IU)</t>
        </is>
      </c>
      <c r="F434" s="3" t="inlineStr">
        <is>
          <t>4</t>
        </is>
      </c>
    </row>
    <row r="435" ht="15.75" customHeight="1" s="9">
      <c r="A435" s="3" t="n">
        <v>3</v>
      </c>
      <c r="B435" s="3" t="inlineStr">
        <is>
          <t>句子</t>
        </is>
      </c>
      <c r="C435" s="3" t="inlineStr">
        <is>
          <t>jù zi</t>
        </is>
      </c>
      <c r="D435" s="4" t="inlineStr">
        <is>
          <t>sentence</t>
        </is>
      </c>
      <c r="E435" s="3" t="inlineStr">
        <is>
          <t>句 jù (J+U) · 子 zi (Z+Ø (no final))</t>
        </is>
      </c>
      <c r="F435" s="3" t="inlineStr">
        <is>
          <t>4-5</t>
        </is>
      </c>
    </row>
    <row r="436" ht="15.75" customHeight="1" s="9">
      <c r="A436" s="3" t="n">
        <v>3</v>
      </c>
      <c r="B436" s="3" t="inlineStr">
        <is>
          <t>决定</t>
        </is>
      </c>
      <c r="C436" s="3" t="inlineStr">
        <is>
          <t>jué dìng</t>
        </is>
      </c>
      <c r="D436" s="4" t="inlineStr">
        <is>
          <t>decide; decision</t>
        </is>
      </c>
      <c r="E436" s="3" t="inlineStr">
        <is>
          <t>决 jué (J+UE) · 定 dìng (D+ING)</t>
        </is>
      </c>
      <c r="F436" s="3" t="inlineStr">
        <is>
          <t>2-4</t>
        </is>
      </c>
    </row>
    <row r="437" ht="15.75" customHeight="1" s="9">
      <c r="A437" s="3" t="n">
        <v>3</v>
      </c>
      <c r="B437" s="3" t="inlineStr">
        <is>
          <t>可爱</t>
        </is>
      </c>
      <c r="C437" s="3" t="inlineStr">
        <is>
          <t>kě ài</t>
        </is>
      </c>
      <c r="D437" s="4" t="inlineStr">
        <is>
          <t>cute; lovely</t>
        </is>
      </c>
      <c r="E437" s="3" t="inlineStr">
        <is>
          <t>可 kě (K+E) · 爱 ài (Ø+AI)</t>
        </is>
      </c>
      <c r="F437" s="3" t="inlineStr">
        <is>
          <t>3-4</t>
        </is>
      </c>
    </row>
    <row r="438" ht="15.75" customHeight="1" s="9">
      <c r="A438" s="3" t="n">
        <v>3</v>
      </c>
      <c r="B438" s="3" t="inlineStr">
        <is>
          <t>渴</t>
        </is>
      </c>
      <c r="C438" s="3" t="inlineStr">
        <is>
          <t>kě</t>
        </is>
      </c>
      <c r="D438" s="4" t="inlineStr">
        <is>
          <t>thirsty</t>
        </is>
      </c>
      <c r="E438" s="3" t="inlineStr">
        <is>
          <t>渴 kě (K+E)</t>
        </is>
      </c>
      <c r="F438" s="3" t="inlineStr">
        <is>
          <t>3</t>
        </is>
      </c>
    </row>
    <row r="439" ht="15.75" customHeight="1" s="9">
      <c r="A439" s="3" t="n">
        <v>3</v>
      </c>
      <c r="B439" s="3" t="inlineStr">
        <is>
          <t>刻</t>
        </is>
      </c>
      <c r="C439" s="3" t="inlineStr">
        <is>
          <t>kè</t>
        </is>
      </c>
      <c r="D439" s="4" t="inlineStr">
        <is>
          <t>quarter; carve</t>
        </is>
      </c>
      <c r="E439" s="3" t="inlineStr">
        <is>
          <t>刻 kè (K+E)</t>
        </is>
      </c>
      <c r="F439" s="3" t="inlineStr">
        <is>
          <t>4</t>
        </is>
      </c>
    </row>
    <row r="440" ht="15.75" customHeight="1" s="9">
      <c r="A440" s="3" t="n">
        <v>3</v>
      </c>
      <c r="B440" s="3" t="inlineStr">
        <is>
          <t>客人</t>
        </is>
      </c>
      <c r="C440" s="3" t="inlineStr">
        <is>
          <t>kè rén</t>
        </is>
      </c>
      <c r="D440" s="4" t="inlineStr">
        <is>
          <t>guest</t>
        </is>
      </c>
      <c r="E440" s="3" t="inlineStr">
        <is>
          <t>客 kè (K+E) · 人 rén (R+(E)N)</t>
        </is>
      </c>
      <c r="F440" s="3" t="inlineStr">
        <is>
          <t>4-2</t>
        </is>
      </c>
    </row>
    <row r="441" ht="15.75" customHeight="1" s="9">
      <c r="A441" s="3" t="n">
        <v>3</v>
      </c>
      <c r="B441" s="3" t="inlineStr">
        <is>
          <t>空调</t>
        </is>
      </c>
      <c r="C441" s="3" t="inlineStr">
        <is>
          <t>kōng tiáo</t>
        </is>
      </c>
      <c r="D441" s="4" t="inlineStr">
        <is>
          <t>air conditioner</t>
        </is>
      </c>
      <c r="E441" s="3" t="inlineStr">
        <is>
          <t>空 kōng (K+ONG) · 调 tiáo (T+IAO)</t>
        </is>
      </c>
      <c r="F441" s="3" t="inlineStr">
        <is>
          <t>1-2</t>
        </is>
      </c>
    </row>
    <row r="442" ht="15.75" customHeight="1" s="9">
      <c r="A442" s="3" t="n">
        <v>3</v>
      </c>
      <c r="B442" s="3" t="inlineStr">
        <is>
          <t>口</t>
        </is>
      </c>
      <c r="C442" s="3" t="inlineStr">
        <is>
          <t>kǒu</t>
        </is>
      </c>
      <c r="D442" s="4" t="inlineStr">
        <is>
          <t>mouth; measure word</t>
        </is>
      </c>
      <c r="E442" s="3" t="inlineStr">
        <is>
          <t>口 kǒu (K+OU)</t>
        </is>
      </c>
      <c r="F442" s="3" t="inlineStr">
        <is>
          <t>3</t>
        </is>
      </c>
    </row>
    <row r="443" ht="15.75" customHeight="1" s="9">
      <c r="A443" s="3" t="n">
        <v>3</v>
      </c>
      <c r="B443" s="3" t="inlineStr">
        <is>
          <t>哭</t>
        </is>
      </c>
      <c r="C443" s="3" t="inlineStr">
        <is>
          <t>kū</t>
        </is>
      </c>
      <c r="D443" s="4" t="inlineStr">
        <is>
          <t>cry</t>
        </is>
      </c>
      <c r="E443" s="3" t="inlineStr">
        <is>
          <t>哭 kū (K+U)</t>
        </is>
      </c>
      <c r="F443" s="3" t="inlineStr">
        <is>
          <t>1</t>
        </is>
      </c>
    </row>
    <row r="444" ht="15.75" customHeight="1" s="9">
      <c r="A444" s="3" t="n">
        <v>3</v>
      </c>
      <c r="B444" s="3" t="inlineStr">
        <is>
          <t>裤子</t>
        </is>
      </c>
      <c r="C444" s="3" t="inlineStr">
        <is>
          <t>kù zi</t>
        </is>
      </c>
      <c r="D444" s="4" t="inlineStr">
        <is>
          <t>pants</t>
        </is>
      </c>
      <c r="E444" s="3" t="inlineStr">
        <is>
          <t>裤 kù (K+U) · 子 zi (Z+Ø (no final))</t>
        </is>
      </c>
      <c r="F444" s="3" t="inlineStr">
        <is>
          <t>4-5</t>
        </is>
      </c>
    </row>
    <row r="445" ht="15.75" customHeight="1" s="9">
      <c r="A445" s="3" t="n">
        <v>3</v>
      </c>
      <c r="B445" s="3" t="inlineStr">
        <is>
          <t>筷子</t>
        </is>
      </c>
      <c r="C445" s="3" t="inlineStr">
        <is>
          <t>kuài zi</t>
        </is>
      </c>
      <c r="D445" s="4" t="inlineStr">
        <is>
          <t>chopsticks</t>
        </is>
      </c>
      <c r="E445" s="3" t="inlineStr">
        <is>
          <t>筷 kuài (K+UAI) · 子 zi (Z+Ø (no final))</t>
        </is>
      </c>
      <c r="F445" s="3" t="inlineStr">
        <is>
          <t>4-5</t>
        </is>
      </c>
    </row>
    <row r="446" ht="15.75" customHeight="1" s="9">
      <c r="A446" s="3" t="n">
        <v>3</v>
      </c>
      <c r="B446" s="3" t="inlineStr">
        <is>
          <t>蓝</t>
        </is>
      </c>
      <c r="C446" s="3" t="inlineStr">
        <is>
          <t>lán</t>
        </is>
      </c>
      <c r="D446" s="4" t="inlineStr">
        <is>
          <t>blue</t>
        </is>
      </c>
      <c r="E446" s="3" t="inlineStr">
        <is>
          <t>蓝 lán (L+AN)</t>
        </is>
      </c>
      <c r="F446" s="3" t="inlineStr">
        <is>
          <t>2</t>
        </is>
      </c>
    </row>
    <row r="447" ht="15.75" customHeight="1" s="9">
      <c r="A447" s="3" t="n">
        <v>3</v>
      </c>
      <c r="B447" s="3" t="inlineStr">
        <is>
          <t>老</t>
        </is>
      </c>
      <c r="C447" s="3" t="inlineStr">
        <is>
          <t>lǎo</t>
        </is>
      </c>
      <c r="D447" s="4" t="inlineStr">
        <is>
          <t>old</t>
        </is>
      </c>
      <c r="E447" s="3" t="inlineStr">
        <is>
          <t>老 lǎo (L+AO)</t>
        </is>
      </c>
      <c r="F447" s="3" t="inlineStr">
        <is>
          <t>3</t>
        </is>
      </c>
    </row>
    <row r="448" ht="15.75" customHeight="1" s="9">
      <c r="A448" s="3" t="n">
        <v>3</v>
      </c>
      <c r="B448" s="3" t="inlineStr">
        <is>
          <t>离开</t>
        </is>
      </c>
      <c r="C448" s="3" t="inlineStr">
        <is>
          <t>lí kāi</t>
        </is>
      </c>
      <c r="D448" s="4" t="inlineStr">
        <is>
          <t>leave</t>
        </is>
      </c>
      <c r="E448" s="3" t="inlineStr">
        <is>
          <t>离 lí (L+I) · 开 kāi (K+AI)</t>
        </is>
      </c>
      <c r="F448" s="3" t="inlineStr">
        <is>
          <t>2-1</t>
        </is>
      </c>
    </row>
    <row r="449" ht="15.75" customHeight="1" s="9">
      <c r="A449" s="3" t="n">
        <v>3</v>
      </c>
      <c r="B449" s="3" t="inlineStr">
        <is>
          <t>礼物</t>
        </is>
      </c>
      <c r="C449" s="3" t="inlineStr">
        <is>
          <t>lǐ wù</t>
        </is>
      </c>
      <c r="D449" s="4" t="inlineStr">
        <is>
          <t>gift</t>
        </is>
      </c>
      <c r="E449" s="3" t="inlineStr">
        <is>
          <t>礼 lǐ (L+I) · 物 wù (W+U)</t>
        </is>
      </c>
      <c r="F449" s="3" t="inlineStr">
        <is>
          <t>3-4</t>
        </is>
      </c>
    </row>
    <row r="450" ht="15.75" customHeight="1" s="9">
      <c r="A450" s="3" t="n">
        <v>3</v>
      </c>
      <c r="B450" s="3" t="inlineStr">
        <is>
          <t>历史</t>
        </is>
      </c>
      <c r="C450" s="3" t="inlineStr">
        <is>
          <t>lì shǐ</t>
        </is>
      </c>
      <c r="D450" s="4" t="inlineStr">
        <is>
          <t>history</t>
        </is>
      </c>
      <c r="E450" s="3" t="inlineStr">
        <is>
          <t>历 lì (L+I) · 史 shǐ (SH+Ø (no final))</t>
        </is>
      </c>
      <c r="F450" s="3" t="inlineStr">
        <is>
          <t>4-3</t>
        </is>
      </c>
    </row>
    <row r="451" ht="15.75" customHeight="1" s="9">
      <c r="A451" s="3" t="n">
        <v>3</v>
      </c>
      <c r="B451" s="3" t="inlineStr">
        <is>
          <t>脸</t>
        </is>
      </c>
      <c r="C451" s="3" t="inlineStr">
        <is>
          <t>liǎn</t>
        </is>
      </c>
      <c r="D451" s="4" t="inlineStr">
        <is>
          <t>face</t>
        </is>
      </c>
      <c r="E451" s="3" t="inlineStr">
        <is>
          <t>脸 liǎn (L+IAN)</t>
        </is>
      </c>
      <c r="F451" s="3" t="inlineStr">
        <is>
          <t>3</t>
        </is>
      </c>
    </row>
    <row r="452" ht="15.75" customHeight="1" s="9">
      <c r="A452" s="3" t="n">
        <v>3</v>
      </c>
      <c r="B452" s="3" t="inlineStr">
        <is>
          <t>练习</t>
        </is>
      </c>
      <c r="C452" s="3" t="inlineStr">
        <is>
          <t>liàn xí</t>
        </is>
      </c>
      <c r="D452" s="4" t="inlineStr">
        <is>
          <t>practice</t>
        </is>
      </c>
      <c r="E452" s="3" t="inlineStr">
        <is>
          <t>练 liàn (L+IAN) · 习 xí (X+I)</t>
        </is>
      </c>
      <c r="F452" s="3" t="inlineStr">
        <is>
          <t>4-2</t>
        </is>
      </c>
    </row>
    <row r="453" ht="15.75" customHeight="1" s="9">
      <c r="A453" s="3" t="n">
        <v>3</v>
      </c>
      <c r="B453" s="3" t="inlineStr">
        <is>
          <t>辆</t>
        </is>
      </c>
      <c r="C453" s="3" t="inlineStr">
        <is>
          <t>liàng</t>
        </is>
      </c>
      <c r="D453" s="4" t="inlineStr">
        <is>
          <t>measure word for vehicles</t>
        </is>
      </c>
      <c r="E453" s="3" t="inlineStr">
        <is>
          <t>辆 liàng (L+IANG)</t>
        </is>
      </c>
      <c r="F453" s="3" t="inlineStr">
        <is>
          <t>4</t>
        </is>
      </c>
    </row>
    <row r="454" ht="15.75" customHeight="1" s="9">
      <c r="A454" s="3" t="n">
        <v>3</v>
      </c>
      <c r="B454" s="3" t="inlineStr">
        <is>
          <t>聊天</t>
        </is>
      </c>
      <c r="C454" s="3" t="inlineStr">
        <is>
          <t>liáo tiān</t>
        </is>
      </c>
      <c r="D454" s="4" t="inlineStr">
        <is>
          <t>chat</t>
        </is>
      </c>
      <c r="E454" s="3" t="inlineStr">
        <is>
          <t>聊 liáo (L+IAO) · 天 tiān (T+IAN)</t>
        </is>
      </c>
      <c r="F454" s="3" t="inlineStr">
        <is>
          <t>2-1</t>
        </is>
      </c>
    </row>
    <row r="455" ht="15.75" customHeight="1" s="9">
      <c r="A455" s="3" t="n">
        <v>3</v>
      </c>
      <c r="B455" s="3" t="inlineStr">
        <is>
          <t>了解</t>
        </is>
      </c>
      <c r="C455" s="3" t="inlineStr">
        <is>
          <t>liǎo jiě</t>
        </is>
      </c>
      <c r="D455" s="4" t="inlineStr">
        <is>
          <t>understand</t>
        </is>
      </c>
      <c r="E455" s="3" t="inlineStr">
        <is>
          <t>了 liǎo (L+IAO) · 解 jiě (J+IE)</t>
        </is>
      </c>
      <c r="F455" s="3" t="inlineStr">
        <is>
          <t>3-3</t>
        </is>
      </c>
    </row>
    <row r="456" ht="15.75" customHeight="1" s="9">
      <c r="A456" s="3" t="n">
        <v>3</v>
      </c>
      <c r="B456" s="3" t="inlineStr">
        <is>
          <t>邻居</t>
        </is>
      </c>
      <c r="C456" s="3" t="inlineStr">
        <is>
          <t>lín jū</t>
        </is>
      </c>
      <c r="D456" s="4" t="inlineStr">
        <is>
          <t>neighbor</t>
        </is>
      </c>
      <c r="E456" s="3" t="inlineStr">
        <is>
          <t>邻 lín (L+IN) · 居 jū (J+U)</t>
        </is>
      </c>
      <c r="F456" s="3" t="inlineStr">
        <is>
          <t>2-1</t>
        </is>
      </c>
    </row>
    <row r="457" ht="15.75" customHeight="1" s="9">
      <c r="A457" s="3" t="n">
        <v>3</v>
      </c>
      <c r="B457" s="3" t="inlineStr">
        <is>
          <t>留学</t>
        </is>
      </c>
      <c r="C457" s="3" t="inlineStr">
        <is>
          <t>liú xué</t>
        </is>
      </c>
      <c r="D457" s="4" t="inlineStr">
        <is>
          <t>study abroad</t>
        </is>
      </c>
      <c r="E457" s="3" t="inlineStr">
        <is>
          <t>留 liú (L+IU) · 学 xué (X+UE)</t>
        </is>
      </c>
      <c r="F457" s="3" t="inlineStr">
        <is>
          <t>2-2</t>
        </is>
      </c>
    </row>
    <row r="458" ht="15.75" customHeight="1" s="9">
      <c r="A458" s="3" t="n">
        <v>3</v>
      </c>
      <c r="B458" s="3" t="inlineStr">
        <is>
          <t>楼</t>
        </is>
      </c>
      <c r="C458" s="3" t="inlineStr">
        <is>
          <t>lóu</t>
        </is>
      </c>
      <c r="D458" s="4" t="inlineStr">
        <is>
          <t>building; floor</t>
        </is>
      </c>
      <c r="E458" s="3" t="inlineStr">
        <is>
          <t>楼 lóu (L+OU)</t>
        </is>
      </c>
      <c r="F458" s="3" t="inlineStr">
        <is>
          <t>2</t>
        </is>
      </c>
    </row>
    <row r="459" ht="15.75" customHeight="1" s="9">
      <c r="A459" s="3" t="n">
        <v>3</v>
      </c>
      <c r="B459" s="3" t="inlineStr">
        <is>
          <t>绿</t>
        </is>
      </c>
      <c r="C459" s="3" t="inlineStr">
        <is>
          <t>lǜ</t>
        </is>
      </c>
      <c r="D459" s="4" t="inlineStr">
        <is>
          <t>green</t>
        </is>
      </c>
      <c r="E459" s="3" t="inlineStr">
        <is>
          <t>绿 lǜ (L+Ü)</t>
        </is>
      </c>
      <c r="F459" s="3" t="inlineStr">
        <is>
          <t>4</t>
        </is>
      </c>
    </row>
    <row r="460" ht="15.75" customHeight="1" s="9">
      <c r="A460" s="3" t="n">
        <v>3</v>
      </c>
      <c r="B460" s="3" t="inlineStr">
        <is>
          <t>马</t>
        </is>
      </c>
      <c r="C460" s="3" t="inlineStr">
        <is>
          <t>mǎ</t>
        </is>
      </c>
      <c r="D460" s="4" t="inlineStr">
        <is>
          <t>horse</t>
        </is>
      </c>
      <c r="E460" s="3" t="inlineStr">
        <is>
          <t>马 mǎ (M+A)</t>
        </is>
      </c>
      <c r="F460" s="3" t="inlineStr">
        <is>
          <t>3</t>
        </is>
      </c>
    </row>
    <row r="461" ht="15.75" customHeight="1" s="9">
      <c r="A461" s="3" t="n">
        <v>3</v>
      </c>
      <c r="B461" s="3" t="inlineStr">
        <is>
          <t>马上</t>
        </is>
      </c>
      <c r="C461" s="3" t="inlineStr">
        <is>
          <t>mǎ shàng</t>
        </is>
      </c>
      <c r="D461" s="4" t="inlineStr">
        <is>
          <t>right away</t>
        </is>
      </c>
      <c r="E461" s="3" t="inlineStr">
        <is>
          <t>马 mǎ (M+A) · 上 shàng (SH+ANG)</t>
        </is>
      </c>
      <c r="F461" s="3" t="inlineStr">
        <is>
          <t>3-4</t>
        </is>
      </c>
    </row>
    <row r="462" ht="15.75" customHeight="1" s="9">
      <c r="A462" s="3" t="n">
        <v>3</v>
      </c>
      <c r="B462" s="3" t="inlineStr">
        <is>
          <t>满意</t>
        </is>
      </c>
      <c r="C462" s="3" t="inlineStr">
        <is>
          <t>mǎn yì</t>
        </is>
      </c>
      <c r="D462" s="4" t="inlineStr">
        <is>
          <t>satisfied</t>
        </is>
      </c>
      <c r="E462" s="3" t="inlineStr">
        <is>
          <t>满 mǎn (M+AN) · 意 yì (Y+I)</t>
        </is>
      </c>
      <c r="F462" s="3" t="inlineStr">
        <is>
          <t>3-4</t>
        </is>
      </c>
    </row>
    <row r="463" ht="15.75" customHeight="1" s="9">
      <c r="A463" s="3" t="n">
        <v>3</v>
      </c>
      <c r="B463" s="3" t="inlineStr">
        <is>
          <t>帽子</t>
        </is>
      </c>
      <c r="C463" s="3" t="inlineStr">
        <is>
          <t>mào zi</t>
        </is>
      </c>
      <c r="D463" s="4" t="inlineStr">
        <is>
          <t>hat</t>
        </is>
      </c>
      <c r="E463" s="3" t="inlineStr">
        <is>
          <t>帽 mào (M+AO) · 子 zi (Z+Ø (no final))</t>
        </is>
      </c>
      <c r="F463" s="3" t="inlineStr">
        <is>
          <t>4-5</t>
        </is>
      </c>
    </row>
    <row r="464" ht="15.75" customHeight="1" s="9">
      <c r="A464" s="3" t="n">
        <v>3</v>
      </c>
      <c r="B464" s="3" t="inlineStr">
        <is>
          <t>米</t>
        </is>
      </c>
      <c r="C464" s="3" t="inlineStr">
        <is>
          <t>mǐ</t>
        </is>
      </c>
      <c r="D464" s="4" t="inlineStr">
        <is>
          <t>rice; meter</t>
        </is>
      </c>
      <c r="E464" s="3" t="inlineStr">
        <is>
          <t>米 mǐ (M+I)</t>
        </is>
      </c>
      <c r="F464" s="3" t="inlineStr">
        <is>
          <t>3</t>
        </is>
      </c>
    </row>
    <row r="465" ht="15.75" customHeight="1" s="9">
      <c r="A465" s="3" t="n">
        <v>3</v>
      </c>
      <c r="B465" s="3" t="inlineStr">
        <is>
          <t>面包</t>
        </is>
      </c>
      <c r="C465" s="3" t="inlineStr">
        <is>
          <t>miàn bāo</t>
        </is>
      </c>
      <c r="D465" s="4" t="inlineStr">
        <is>
          <t>bread</t>
        </is>
      </c>
      <c r="E465" s="3" t="inlineStr">
        <is>
          <t>面 miàn (M+IAN) · 包 bāo (B+AO)</t>
        </is>
      </c>
      <c r="F465" s="3" t="inlineStr">
        <is>
          <t>4-1</t>
        </is>
      </c>
    </row>
    <row r="466" ht="15.75" customHeight="1" s="9">
      <c r="A466" s="3" t="n">
        <v>3</v>
      </c>
      <c r="B466" s="3" t="inlineStr">
        <is>
          <t>明白</t>
        </is>
      </c>
      <c r="C466" s="3" t="inlineStr">
        <is>
          <t>míng bai</t>
        </is>
      </c>
      <c r="D466" s="4" t="inlineStr">
        <is>
          <t>understand</t>
        </is>
      </c>
      <c r="E466" s="3" t="inlineStr">
        <is>
          <t>明 míng (M+ING) · 白 bai (B+AI)</t>
        </is>
      </c>
      <c r="F466" s="3" t="inlineStr">
        <is>
          <t>2-5</t>
        </is>
      </c>
    </row>
    <row r="467" ht="15.75" customHeight="1" s="9">
      <c r="A467" s="3" t="n">
        <v>3</v>
      </c>
      <c r="B467" s="3" t="inlineStr">
        <is>
          <t>拿</t>
        </is>
      </c>
      <c r="C467" s="3" t="inlineStr">
        <is>
          <t>ná</t>
        </is>
      </c>
      <c r="D467" s="4" t="inlineStr">
        <is>
          <t>take; hold</t>
        </is>
      </c>
      <c r="E467" s="3" t="inlineStr">
        <is>
          <t>拿 ná (N+A)</t>
        </is>
      </c>
      <c r="F467" s="3" t="inlineStr">
        <is>
          <t>2</t>
        </is>
      </c>
    </row>
    <row r="468" ht="15.75" customHeight="1" s="9">
      <c r="A468" s="3" t="n">
        <v>3</v>
      </c>
      <c r="B468" s="3" t="inlineStr">
        <is>
          <t>奶奶</t>
        </is>
      </c>
      <c r="C468" s="3" t="inlineStr">
        <is>
          <t>nǎi nai</t>
        </is>
      </c>
      <c r="D468" s="4" t="inlineStr">
        <is>
          <t>grandmother</t>
        </is>
      </c>
      <c r="E468" s="3" t="inlineStr">
        <is>
          <t>奶 nǎi (N+AI) · 奶 nai (N+AI)</t>
        </is>
      </c>
      <c r="F468" s="3" t="inlineStr">
        <is>
          <t>3-5</t>
        </is>
      </c>
    </row>
    <row r="469" ht="15.75" customHeight="1" s="9">
      <c r="A469" s="3" t="n">
        <v>3</v>
      </c>
      <c r="B469" s="3" t="inlineStr">
        <is>
          <t>南</t>
        </is>
      </c>
      <c r="C469" s="3" t="inlineStr">
        <is>
          <t>nán</t>
        </is>
      </c>
      <c r="D469" s="4" t="inlineStr">
        <is>
          <t>south</t>
        </is>
      </c>
      <c r="E469" s="3" t="inlineStr">
        <is>
          <t>南 nán (N+AN)</t>
        </is>
      </c>
      <c r="F469" s="3" t="inlineStr">
        <is>
          <t>2</t>
        </is>
      </c>
    </row>
    <row r="470" ht="15.75" customHeight="1" s="9">
      <c r="A470" s="3" t="n">
        <v>3</v>
      </c>
      <c r="B470" s="3" t="inlineStr">
        <is>
          <t>难</t>
        </is>
      </c>
      <c r="C470" s="3" t="inlineStr">
        <is>
          <t>nán</t>
        </is>
      </c>
      <c r="D470" s="4" t="inlineStr">
        <is>
          <t>difficult</t>
        </is>
      </c>
      <c r="E470" s="3" t="inlineStr">
        <is>
          <t>难 nán (N+AN)</t>
        </is>
      </c>
      <c r="F470" s="3" t="inlineStr">
        <is>
          <t>2</t>
        </is>
      </c>
    </row>
    <row r="471" ht="15.75" customHeight="1" s="9">
      <c r="A471" s="3" t="n">
        <v>3</v>
      </c>
      <c r="B471" s="3" t="inlineStr">
        <is>
          <t>难过</t>
        </is>
      </c>
      <c r="C471" s="3" t="inlineStr">
        <is>
          <t>nán guò</t>
        </is>
      </c>
      <c r="D471" s="4" t="inlineStr">
        <is>
          <t>sad</t>
        </is>
      </c>
      <c r="E471" s="3" t="inlineStr">
        <is>
          <t>难 nán (N+AN) · 过 guò (G+UO)</t>
        </is>
      </c>
      <c r="F471" s="3" t="inlineStr">
        <is>
          <t>2-4</t>
        </is>
      </c>
    </row>
    <row r="472" ht="15.75" customHeight="1" s="9">
      <c r="A472" s="3" t="n">
        <v>3</v>
      </c>
      <c r="B472" s="3" t="inlineStr">
        <is>
          <t>年级</t>
        </is>
      </c>
      <c r="C472" s="3" t="inlineStr">
        <is>
          <t>nián jí</t>
        </is>
      </c>
      <c r="D472" s="4" t="inlineStr">
        <is>
          <t>grade level</t>
        </is>
      </c>
      <c r="E472" s="3" t="inlineStr">
        <is>
          <t>年 nián (N+IAN) · 级 jí (J+I)</t>
        </is>
      </c>
      <c r="F472" s="3" t="inlineStr">
        <is>
          <t>2-2</t>
        </is>
      </c>
    </row>
    <row r="473" ht="15.75" customHeight="1" s="9">
      <c r="A473" s="3" t="n">
        <v>3</v>
      </c>
      <c r="B473" s="3" t="inlineStr">
        <is>
          <t>年轻</t>
        </is>
      </c>
      <c r="C473" s="3" t="inlineStr">
        <is>
          <t>nián qīng</t>
        </is>
      </c>
      <c r="D473" s="4" t="inlineStr">
        <is>
          <t>young</t>
        </is>
      </c>
      <c r="E473" s="3" t="inlineStr">
        <is>
          <t>年 nián (N+IAN) · 轻 qīng (Q+ING)</t>
        </is>
      </c>
      <c r="F473" s="3" t="inlineStr">
        <is>
          <t>2-1</t>
        </is>
      </c>
    </row>
    <row r="474" ht="15.75" customHeight="1" s="9">
      <c r="A474" s="3" t="n">
        <v>3</v>
      </c>
      <c r="B474" s="3" t="inlineStr">
        <is>
          <t>鸟</t>
        </is>
      </c>
      <c r="C474" s="3" t="inlineStr">
        <is>
          <t>niǎo</t>
        </is>
      </c>
      <c r="D474" s="4" t="inlineStr">
        <is>
          <t>bird</t>
        </is>
      </c>
      <c r="E474" s="3" t="inlineStr">
        <is>
          <t>鸟 niǎo (N+IAO)</t>
        </is>
      </c>
      <c r="F474" s="3" t="inlineStr">
        <is>
          <t>3</t>
        </is>
      </c>
    </row>
    <row r="475" ht="15.75" customHeight="1" s="9">
      <c r="A475" s="3" t="n">
        <v>3</v>
      </c>
      <c r="B475" s="3" t="inlineStr">
        <is>
          <t>努力</t>
        </is>
      </c>
      <c r="C475" s="3" t="inlineStr">
        <is>
          <t>nǔ lì</t>
        </is>
      </c>
      <c r="D475" s="4" t="inlineStr">
        <is>
          <t>work hard</t>
        </is>
      </c>
      <c r="E475" s="3" t="inlineStr">
        <is>
          <t>努 nǔ (N+U) · 力 lì (L+I)</t>
        </is>
      </c>
      <c r="F475" s="3" t="inlineStr">
        <is>
          <t>3-4</t>
        </is>
      </c>
    </row>
    <row r="476" ht="15.75" customHeight="1" s="9">
      <c r="A476" s="3" t="n">
        <v>3</v>
      </c>
      <c r="B476" s="3" t="inlineStr">
        <is>
          <t>爬山</t>
        </is>
      </c>
      <c r="C476" s="3" t="inlineStr">
        <is>
          <t>pá shān</t>
        </is>
      </c>
      <c r="D476" s="4" t="inlineStr">
        <is>
          <t>climb a mountain</t>
        </is>
      </c>
      <c r="E476" s="3" t="inlineStr">
        <is>
          <t>爬 pá (P+A) · 山 shān (SH+AN)</t>
        </is>
      </c>
      <c r="F476" s="3" t="inlineStr">
        <is>
          <t>2-1</t>
        </is>
      </c>
    </row>
    <row r="477" ht="15.75" customHeight="1" s="9">
      <c r="A477" s="3" t="n">
        <v>3</v>
      </c>
      <c r="B477" s="3" t="inlineStr">
        <is>
          <t>盘子</t>
        </is>
      </c>
      <c r="C477" s="3" t="inlineStr">
        <is>
          <t>pán zi</t>
        </is>
      </c>
      <c r="D477" s="4" t="inlineStr">
        <is>
          <t>plate</t>
        </is>
      </c>
      <c r="E477" s="3" t="inlineStr">
        <is>
          <t>盘 pán (P+AN) · 子 zi (Z+Ø (no final))</t>
        </is>
      </c>
      <c r="F477" s="3" t="inlineStr">
        <is>
          <t>2-5</t>
        </is>
      </c>
    </row>
    <row r="478" ht="15.75" customHeight="1" s="9">
      <c r="A478" s="3" t="n">
        <v>3</v>
      </c>
      <c r="B478" s="3" t="inlineStr">
        <is>
          <t>胖</t>
        </is>
      </c>
      <c r="C478" s="3" t="inlineStr">
        <is>
          <t>pàng</t>
        </is>
      </c>
      <c r="D478" s="4" t="inlineStr">
        <is>
          <t>fat</t>
        </is>
      </c>
      <c r="E478" s="3" t="inlineStr">
        <is>
          <t>胖 pàng (P+ANG)</t>
        </is>
      </c>
      <c r="F478" s="3" t="inlineStr">
        <is>
          <t>4</t>
        </is>
      </c>
    </row>
    <row r="479" ht="15.75" customHeight="1" s="9">
      <c r="A479" s="3" t="n">
        <v>3</v>
      </c>
      <c r="B479" s="3" t="inlineStr">
        <is>
          <t>啤酒</t>
        </is>
      </c>
      <c r="C479" s="3" t="inlineStr">
        <is>
          <t>pí jiǔ</t>
        </is>
      </c>
      <c r="D479" s="4" t="inlineStr">
        <is>
          <t>beer</t>
        </is>
      </c>
      <c r="E479" s="3" t="inlineStr">
        <is>
          <t>啤 pí (P+I) · 酒 jiǔ (J+IU)</t>
        </is>
      </c>
      <c r="F479" s="3" t="inlineStr">
        <is>
          <t>2-3</t>
        </is>
      </c>
    </row>
    <row r="480" ht="15.75" customHeight="1" s="9">
      <c r="A480" s="3" t="n">
        <v>3</v>
      </c>
      <c r="B480" s="3" t="inlineStr">
        <is>
          <t>皮鞋</t>
        </is>
      </c>
      <c r="C480" s="3" t="inlineStr">
        <is>
          <t>pí xié</t>
        </is>
      </c>
      <c r="D480" s="4" t="inlineStr">
        <is>
          <t>leather shoes</t>
        </is>
      </c>
      <c r="E480" s="3" t="inlineStr">
        <is>
          <t>皮 pí (P+I) · 鞋 xié (X+IE)</t>
        </is>
      </c>
      <c r="F480" s="3" t="inlineStr">
        <is>
          <t>2-2</t>
        </is>
      </c>
    </row>
    <row r="481" ht="15.75" customHeight="1" s="9">
      <c r="A481" s="3" t="n">
        <v>3</v>
      </c>
      <c r="B481" s="3" t="inlineStr">
        <is>
          <t>瓶子</t>
        </is>
      </c>
      <c r="C481" s="3" t="inlineStr">
        <is>
          <t>píng zi</t>
        </is>
      </c>
      <c r="D481" s="4" t="inlineStr">
        <is>
          <t>bottle</t>
        </is>
      </c>
      <c r="E481" s="3" t="inlineStr">
        <is>
          <t>瓶 píng (P+ING) · 子 zi (Z+Ø (no final))</t>
        </is>
      </c>
      <c r="F481" s="3" t="inlineStr">
        <is>
          <t>2-5</t>
        </is>
      </c>
    </row>
    <row r="482" ht="15.75" customHeight="1" s="9">
      <c r="A482" s="3" t="n">
        <v>3</v>
      </c>
      <c r="B482" s="3" t="inlineStr">
        <is>
          <t>其实</t>
        </is>
      </c>
      <c r="C482" s="3" t="inlineStr">
        <is>
          <t>qí shí</t>
        </is>
      </c>
      <c r="D482" s="4" t="inlineStr">
        <is>
          <t>actually</t>
        </is>
      </c>
      <c r="E482" s="3" t="inlineStr">
        <is>
          <t>其 qí (Q+I) · 实 shí (SH+Ø (no final))</t>
        </is>
      </c>
      <c r="F482" s="3" t="inlineStr">
        <is>
          <t>2-2</t>
        </is>
      </c>
    </row>
    <row r="483" ht="15.75" customHeight="1" s="9">
      <c r="A483" s="3" t="n">
        <v>3</v>
      </c>
      <c r="B483" s="3" t="inlineStr">
        <is>
          <t>其他</t>
        </is>
      </c>
      <c r="C483" s="3" t="inlineStr">
        <is>
          <t>qí tā</t>
        </is>
      </c>
      <c r="D483" s="4" t="inlineStr">
        <is>
          <t>other</t>
        </is>
      </c>
      <c r="E483" s="3" t="inlineStr">
        <is>
          <t>其 qí (Q+I) · 他 tā (T+A)</t>
        </is>
      </c>
      <c r="F483" s="3" t="inlineStr">
        <is>
          <t>2-1</t>
        </is>
      </c>
    </row>
    <row r="484" ht="15.75" customHeight="1" s="9">
      <c r="A484" s="3" t="n">
        <v>3</v>
      </c>
      <c r="B484" s="3" t="inlineStr">
        <is>
          <t>奇怪</t>
        </is>
      </c>
      <c r="C484" s="3" t="inlineStr">
        <is>
          <t>qí guài</t>
        </is>
      </c>
      <c r="D484" s="4" t="inlineStr">
        <is>
          <t>strange</t>
        </is>
      </c>
      <c r="E484" s="3" t="inlineStr">
        <is>
          <t>奇 qí (Q+I) · 怪 guài (G+UAI)</t>
        </is>
      </c>
      <c r="F484" s="3" t="inlineStr">
        <is>
          <t>2-4</t>
        </is>
      </c>
    </row>
    <row r="485" ht="15.75" customHeight="1" s="9">
      <c r="A485" s="3" t="n">
        <v>3</v>
      </c>
      <c r="B485" s="3" t="inlineStr">
        <is>
          <t>骑</t>
        </is>
      </c>
      <c r="C485" s="3" t="inlineStr">
        <is>
          <t>qí</t>
        </is>
      </c>
      <c r="D485" s="4" t="inlineStr">
        <is>
          <t>ride</t>
        </is>
      </c>
      <c r="E485" s="3" t="inlineStr">
        <is>
          <t>骑 qí (Q+I)</t>
        </is>
      </c>
      <c r="F485" s="3" t="inlineStr">
        <is>
          <t>2</t>
        </is>
      </c>
    </row>
    <row r="486" ht="15.75" customHeight="1" s="9">
      <c r="A486" s="3" t="n">
        <v>3</v>
      </c>
      <c r="B486" s="3" t="inlineStr">
        <is>
          <t>起飞</t>
        </is>
      </c>
      <c r="C486" s="3" t="inlineStr">
        <is>
          <t>qǐ fēi</t>
        </is>
      </c>
      <c r="D486" s="4" t="inlineStr">
        <is>
          <t>take off</t>
        </is>
      </c>
      <c r="E486" s="3" t="inlineStr">
        <is>
          <t>起 qǐ (Q+I) · 飞 fēi (F+EI)</t>
        </is>
      </c>
      <c r="F486" s="3" t="inlineStr">
        <is>
          <t>3-1</t>
        </is>
      </c>
    </row>
    <row r="487" ht="15.75" customHeight="1" s="9">
      <c r="A487" s="3" t="n">
        <v>3</v>
      </c>
      <c r="B487" s="3" t="inlineStr">
        <is>
          <t>起来</t>
        </is>
      </c>
      <c r="C487" s="3" t="inlineStr">
        <is>
          <t>qǐ lái</t>
        </is>
      </c>
      <c r="D487" s="4" t="inlineStr">
        <is>
          <t>get up; begin</t>
        </is>
      </c>
      <c r="E487" s="3" t="inlineStr">
        <is>
          <t>起 qǐ (Q+I) · 来 lái (L+AI)</t>
        </is>
      </c>
      <c r="F487" s="3" t="inlineStr">
        <is>
          <t>3-2</t>
        </is>
      </c>
    </row>
    <row r="488" ht="15.75" customHeight="1" s="9">
      <c r="A488" s="3" t="n">
        <v>3</v>
      </c>
      <c r="B488" s="3" t="inlineStr">
        <is>
          <t>清楚</t>
        </is>
      </c>
      <c r="C488" s="3" t="inlineStr">
        <is>
          <t>qīng chu</t>
        </is>
      </c>
      <c r="D488" s="4" t="inlineStr">
        <is>
          <t>clear</t>
        </is>
      </c>
      <c r="E488" s="3" t="inlineStr">
        <is>
          <t>清 qīng (Q+ING) · 楚 chu (CH+U)</t>
        </is>
      </c>
      <c r="F488" s="3" t="inlineStr">
        <is>
          <t>1-5</t>
        </is>
      </c>
    </row>
    <row r="489" ht="15.75" customHeight="1" s="9">
      <c r="A489" s="3" t="n">
        <v>3</v>
      </c>
      <c r="B489" s="3" t="inlineStr">
        <is>
          <t>请假</t>
        </is>
      </c>
      <c r="C489" s="3" t="inlineStr">
        <is>
          <t>qǐng jià</t>
        </is>
      </c>
      <c r="D489" s="4" t="inlineStr">
        <is>
          <t>ask for leave</t>
        </is>
      </c>
      <c r="E489" s="3" t="inlineStr">
        <is>
          <t>请 qǐng (Q+ING) · 假 jià (J+IA)</t>
        </is>
      </c>
      <c r="F489" s="3" t="inlineStr">
        <is>
          <t>3-4</t>
        </is>
      </c>
    </row>
    <row r="490" ht="15.75" customHeight="1" s="9">
      <c r="A490" s="3" t="n">
        <v>3</v>
      </c>
      <c r="B490" s="3" t="inlineStr">
        <is>
          <t>秋</t>
        </is>
      </c>
      <c r="C490" s="3" t="inlineStr">
        <is>
          <t>qiū</t>
        </is>
      </c>
      <c r="D490" s="4" t="inlineStr">
        <is>
          <t>autumn</t>
        </is>
      </c>
      <c r="E490" s="3" t="inlineStr">
        <is>
          <t>秋 qiū (Q+IU)</t>
        </is>
      </c>
      <c r="F490" s="3" t="inlineStr">
        <is>
          <t>1</t>
        </is>
      </c>
    </row>
    <row r="491" ht="15.75" customHeight="1" s="9">
      <c r="A491" s="3" t="n">
        <v>3</v>
      </c>
      <c r="B491" s="3" t="inlineStr">
        <is>
          <t>裙子</t>
        </is>
      </c>
      <c r="C491" s="3" t="inlineStr">
        <is>
          <t>qún zi</t>
        </is>
      </c>
      <c r="D491" s="4" t="inlineStr">
        <is>
          <t>skirt</t>
        </is>
      </c>
      <c r="E491" s="3" t="inlineStr">
        <is>
          <t>裙 qún (Q+UN) · 子 zi (Z+Ø (no final))</t>
        </is>
      </c>
      <c r="F491" s="3" t="inlineStr">
        <is>
          <t>2-5</t>
        </is>
      </c>
    </row>
    <row r="492" ht="15.75" customHeight="1" s="9">
      <c r="A492" s="3" t="n">
        <v>3</v>
      </c>
      <c r="B492" s="3" t="inlineStr">
        <is>
          <t>然后</t>
        </is>
      </c>
      <c r="C492" s="3" t="inlineStr">
        <is>
          <t>rán hòu</t>
        </is>
      </c>
      <c r="D492" s="4" t="inlineStr">
        <is>
          <t>then</t>
        </is>
      </c>
      <c r="E492" s="3" t="inlineStr">
        <is>
          <t>然 rán (R+AN) · 后 hòu (H+OU)</t>
        </is>
      </c>
      <c r="F492" s="3" t="inlineStr">
        <is>
          <t>2-4</t>
        </is>
      </c>
    </row>
    <row r="493" ht="15.75" customHeight="1" s="9">
      <c r="A493" s="3" t="n">
        <v>3</v>
      </c>
      <c r="B493" s="3" t="inlineStr">
        <is>
          <t>热情</t>
        </is>
      </c>
      <c r="C493" s="3" t="inlineStr">
        <is>
          <t>rè qíng</t>
        </is>
      </c>
      <c r="D493" s="4" t="inlineStr">
        <is>
          <t>enthusiastic</t>
        </is>
      </c>
      <c r="E493" s="3" t="inlineStr">
        <is>
          <t>热 rè (R+E) · 情 qíng (Q+ING)</t>
        </is>
      </c>
      <c r="F493" s="3" t="inlineStr">
        <is>
          <t>4-2</t>
        </is>
      </c>
    </row>
    <row r="494" ht="15.75" customHeight="1" s="9">
      <c r="A494" s="3" t="n">
        <v>3</v>
      </c>
      <c r="B494" s="3" t="inlineStr">
        <is>
          <t>认为</t>
        </is>
      </c>
      <c r="C494" s="3" t="inlineStr">
        <is>
          <t>rèn wéi</t>
        </is>
      </c>
      <c r="D494" s="4" t="inlineStr">
        <is>
          <t>think; believe</t>
        </is>
      </c>
      <c r="E494" s="3" t="inlineStr">
        <is>
          <t>认 rèn (R+(E)N) · 为 wéi (W+EI)</t>
        </is>
      </c>
      <c r="F494" s="3" t="inlineStr">
        <is>
          <t>4-2</t>
        </is>
      </c>
    </row>
    <row r="495" ht="15.75" customHeight="1" s="9">
      <c r="A495" s="3" t="n">
        <v>3</v>
      </c>
      <c r="B495" s="3" t="inlineStr">
        <is>
          <t>认真</t>
        </is>
      </c>
      <c r="C495" s="3" t="inlineStr">
        <is>
          <t>rèn zhēn</t>
        </is>
      </c>
      <c r="D495" s="4" t="inlineStr">
        <is>
          <t>serious; earnest</t>
        </is>
      </c>
      <c r="E495" s="3" t="inlineStr">
        <is>
          <t>认 rèn (R+(E)N) · 真 zhēn (ZH+(E)N)</t>
        </is>
      </c>
      <c r="F495" s="3" t="inlineStr">
        <is>
          <t>4-1</t>
        </is>
      </c>
    </row>
    <row r="496" ht="15.75" customHeight="1" s="9">
      <c r="A496" s="3" t="n">
        <v>3</v>
      </c>
      <c r="B496" s="3" t="inlineStr">
        <is>
          <t>容易</t>
        </is>
      </c>
      <c r="C496" s="3" t="inlineStr">
        <is>
          <t>róng yì</t>
        </is>
      </c>
      <c r="D496" s="4" t="inlineStr">
        <is>
          <t>easy</t>
        </is>
      </c>
      <c r="E496" s="3" t="inlineStr">
        <is>
          <t>容 róng (R+ONG) · 易 yì (Y+I)</t>
        </is>
      </c>
      <c r="F496" s="3" t="inlineStr">
        <is>
          <t>2-4</t>
        </is>
      </c>
    </row>
    <row r="497" ht="15.75" customHeight="1" s="9">
      <c r="A497" s="3" t="n">
        <v>3</v>
      </c>
      <c r="B497" s="3" t="inlineStr">
        <is>
          <t>如果</t>
        </is>
      </c>
      <c r="C497" s="3" t="inlineStr">
        <is>
          <t>rú guǒ</t>
        </is>
      </c>
      <c r="D497" s="4" t="inlineStr">
        <is>
          <t>if</t>
        </is>
      </c>
      <c r="E497" s="3" t="inlineStr">
        <is>
          <t>如 rú (R+U) · 果 guǒ (G+UO)</t>
        </is>
      </c>
      <c r="F497" s="3" t="inlineStr">
        <is>
          <t>2-3</t>
        </is>
      </c>
    </row>
    <row r="498" ht="15.75" customHeight="1" s="9">
      <c r="A498" s="3" t="n">
        <v>3</v>
      </c>
      <c r="B498" s="3" t="inlineStr">
        <is>
          <t>伞</t>
        </is>
      </c>
      <c r="C498" s="3" t="inlineStr">
        <is>
          <t>sǎn</t>
        </is>
      </c>
      <c r="D498" s="4" t="inlineStr">
        <is>
          <t>umbrella</t>
        </is>
      </c>
      <c r="E498" s="3" t="inlineStr">
        <is>
          <t>伞 sǎn (S+AN)</t>
        </is>
      </c>
      <c r="F498" s="3" t="inlineStr">
        <is>
          <t>3</t>
        </is>
      </c>
    </row>
    <row r="499" ht="15.75" customHeight="1" s="9">
      <c r="A499" s="3" t="n">
        <v>3</v>
      </c>
      <c r="B499" s="3" t="inlineStr">
        <is>
          <t>上网</t>
        </is>
      </c>
      <c r="C499" s="3" t="inlineStr">
        <is>
          <t>shàng wǎng</t>
        </is>
      </c>
      <c r="D499" s="4" t="inlineStr">
        <is>
          <t>go online</t>
        </is>
      </c>
      <c r="E499" s="3" t="inlineStr">
        <is>
          <t>上 shàng (SH+ANG) · 网 wǎng (W+ANG)</t>
        </is>
      </c>
      <c r="F499" s="3" t="inlineStr">
        <is>
          <t>4-3</t>
        </is>
      </c>
    </row>
    <row r="500" ht="15.75" customHeight="1" s="9">
      <c r="A500" s="3" t="n">
        <v>3</v>
      </c>
      <c r="B500" s="3" t="inlineStr">
        <is>
          <t>声音</t>
        </is>
      </c>
      <c r="C500" s="3" t="inlineStr">
        <is>
          <t>shēng yīn</t>
        </is>
      </c>
      <c r="D500" s="4" t="inlineStr">
        <is>
          <t>sound; voice</t>
        </is>
      </c>
      <c r="E500" s="3" t="inlineStr">
        <is>
          <t>声 shēng (SH+(E)NG) · 音 yīn (Y+IN)</t>
        </is>
      </c>
      <c r="F500" s="3" t="inlineStr">
        <is>
          <t>1-1</t>
        </is>
      </c>
    </row>
    <row r="501" ht="15.75" customHeight="1" s="9">
      <c r="A501" s="3" t="n">
        <v>3</v>
      </c>
      <c r="B501" s="3" t="inlineStr">
        <is>
          <t>生气</t>
        </is>
      </c>
      <c r="C501" s="3" t="inlineStr">
        <is>
          <t>shēng qì</t>
        </is>
      </c>
      <c r="D501" s="4" t="inlineStr">
        <is>
          <t>angry</t>
        </is>
      </c>
      <c r="E501" s="3" t="inlineStr">
        <is>
          <t>生 shēng (SH+(E)NG) · 气 qì (Q+I)</t>
        </is>
      </c>
      <c r="F501" s="3" t="inlineStr">
        <is>
          <t>1-4</t>
        </is>
      </c>
    </row>
    <row r="502" ht="15.75" customHeight="1" s="9">
      <c r="A502" s="3" t="n">
        <v>3</v>
      </c>
      <c r="B502" s="3" t="inlineStr">
        <is>
          <t>世界</t>
        </is>
      </c>
      <c r="C502" s="3" t="inlineStr">
        <is>
          <t>shì jiè</t>
        </is>
      </c>
      <c r="D502" s="4" t="inlineStr">
        <is>
          <t>world</t>
        </is>
      </c>
      <c r="E502" s="3" t="inlineStr">
        <is>
          <t>世 shì (SH+Ø (no final)) · 界 jiè (J+IE)</t>
        </is>
      </c>
      <c r="F502" s="3" t="inlineStr">
        <is>
          <t>4-4</t>
        </is>
      </c>
    </row>
    <row r="503" ht="15.75" customHeight="1" s="9">
      <c r="A503" s="3" t="n">
        <v>3</v>
      </c>
      <c r="B503" s="3" t="inlineStr">
        <is>
          <t>试</t>
        </is>
      </c>
      <c r="C503" s="3" t="inlineStr">
        <is>
          <t>shì</t>
        </is>
      </c>
      <c r="D503" s="4" t="inlineStr">
        <is>
          <t>try; test</t>
        </is>
      </c>
      <c r="E503" s="3" t="inlineStr">
        <is>
          <t>试 shì (SH+Ø (no final))</t>
        </is>
      </c>
      <c r="F503" s="3" t="inlineStr">
        <is>
          <t>4</t>
        </is>
      </c>
    </row>
    <row r="504" ht="15.75" customHeight="1" s="9">
      <c r="A504" s="3" t="n">
        <v>3</v>
      </c>
      <c r="B504" s="3" t="inlineStr">
        <is>
          <t>瘦</t>
        </is>
      </c>
      <c r="C504" s="3" t="inlineStr">
        <is>
          <t>shòu</t>
        </is>
      </c>
      <c r="D504" s="4" t="inlineStr">
        <is>
          <t>thin</t>
        </is>
      </c>
      <c r="E504" s="3" t="inlineStr">
        <is>
          <t>瘦 shòu (SH+OU)</t>
        </is>
      </c>
      <c r="F504" s="3" t="inlineStr">
        <is>
          <t>4</t>
        </is>
      </c>
    </row>
    <row r="505" ht="15.75" customHeight="1" s="9">
      <c r="A505" s="3" t="n">
        <v>3</v>
      </c>
      <c r="B505" s="3" t="inlineStr">
        <is>
          <t>叔叔</t>
        </is>
      </c>
      <c r="C505" s="3" t="inlineStr">
        <is>
          <t>shū shu</t>
        </is>
      </c>
      <c r="D505" s="4" t="inlineStr">
        <is>
          <t>uncle</t>
        </is>
      </c>
      <c r="E505" s="3" t="inlineStr">
        <is>
          <t>叔 shū (SH+U) · 叔 shu (SH+U)</t>
        </is>
      </c>
      <c r="F505" s="3" t="inlineStr">
        <is>
          <t>1-5</t>
        </is>
      </c>
    </row>
    <row r="506" ht="15.75" customHeight="1" s="9">
      <c r="A506" s="3" t="n">
        <v>3</v>
      </c>
      <c r="B506" s="3" t="inlineStr">
        <is>
          <t>舒服</t>
        </is>
      </c>
      <c r="C506" s="3" t="inlineStr">
        <is>
          <t>shū fu</t>
        </is>
      </c>
      <c r="D506" s="4" t="inlineStr">
        <is>
          <t>comfortable</t>
        </is>
      </c>
      <c r="E506" s="3" t="inlineStr">
        <is>
          <t>舒 shū (SH+U) · 服 fu (F+U)</t>
        </is>
      </c>
      <c r="F506" s="3" t="inlineStr">
        <is>
          <t>1-5</t>
        </is>
      </c>
    </row>
    <row r="507" ht="15.75" customHeight="1" s="9">
      <c r="A507" s="3" t="n">
        <v>3</v>
      </c>
      <c r="B507" s="3" t="inlineStr">
        <is>
          <t>数学</t>
        </is>
      </c>
      <c r="C507" s="3" t="inlineStr">
        <is>
          <t>shù xué</t>
        </is>
      </c>
      <c r="D507" s="4" t="inlineStr">
        <is>
          <t>math</t>
        </is>
      </c>
      <c r="E507" s="3" t="inlineStr">
        <is>
          <t>数 shù (SH+U) · 学 xué (X+UE)</t>
        </is>
      </c>
      <c r="F507" s="3" t="inlineStr">
        <is>
          <t>4-2</t>
        </is>
      </c>
    </row>
    <row r="508" ht="15.75" customHeight="1" s="9">
      <c r="A508" s="3" t="n">
        <v>3</v>
      </c>
      <c r="B508" s="3" t="inlineStr">
        <is>
          <t>树</t>
        </is>
      </c>
      <c r="C508" s="3" t="inlineStr">
        <is>
          <t>shù</t>
        </is>
      </c>
      <c r="D508" s="4" t="inlineStr">
        <is>
          <t>tree</t>
        </is>
      </c>
      <c r="E508" s="3" t="inlineStr">
        <is>
          <t>树 shù (SH+U)</t>
        </is>
      </c>
      <c r="F508" s="3" t="inlineStr">
        <is>
          <t>4</t>
        </is>
      </c>
    </row>
    <row r="509" ht="15.75" customHeight="1" s="9">
      <c r="A509" s="3" t="n">
        <v>3</v>
      </c>
      <c r="B509" s="3" t="inlineStr">
        <is>
          <t>刷牙</t>
        </is>
      </c>
      <c r="C509" s="3" t="inlineStr">
        <is>
          <t>shuā yá</t>
        </is>
      </c>
      <c r="D509" s="4" t="inlineStr">
        <is>
          <t>brush teeth</t>
        </is>
      </c>
      <c r="E509" s="3" t="inlineStr">
        <is>
          <t>刷 shuā (SH+UA) · 牙 yá (Y+A)</t>
        </is>
      </c>
      <c r="F509" s="3" t="inlineStr">
        <is>
          <t>1-2</t>
        </is>
      </c>
    </row>
    <row r="510" ht="15.75" customHeight="1" s="9">
      <c r="A510" s="3" t="n">
        <v>3</v>
      </c>
      <c r="B510" s="3" t="inlineStr">
        <is>
          <t>双</t>
        </is>
      </c>
      <c r="C510" s="3" t="inlineStr">
        <is>
          <t>shuāng</t>
        </is>
      </c>
      <c r="D510" s="4" t="inlineStr">
        <is>
          <t>pair</t>
        </is>
      </c>
      <c r="E510" s="3" t="inlineStr">
        <is>
          <t>双 shuāng (SH+UANG)</t>
        </is>
      </c>
      <c r="F510" s="3" t="inlineStr">
        <is>
          <t>1</t>
        </is>
      </c>
    </row>
    <row r="511" ht="15.75" customHeight="1" s="9">
      <c r="A511" s="3" t="n">
        <v>3</v>
      </c>
      <c r="B511" s="3" t="inlineStr">
        <is>
          <t>水平</t>
        </is>
      </c>
      <c r="C511" s="3" t="inlineStr">
        <is>
          <t>shuǐ píng</t>
        </is>
      </c>
      <c r="D511" s="4" t="inlineStr">
        <is>
          <t>level; standard</t>
        </is>
      </c>
      <c r="E511" s="3" t="inlineStr">
        <is>
          <t>水 shuǐ (SH+UI) · 平 píng (P+ING)</t>
        </is>
      </c>
      <c r="F511" s="3" t="inlineStr">
        <is>
          <t>3-2</t>
        </is>
      </c>
    </row>
    <row r="512" ht="15.75" customHeight="1" s="9">
      <c r="A512" s="3" t="n">
        <v>3</v>
      </c>
      <c r="B512" s="3" t="inlineStr">
        <is>
          <t>司机</t>
        </is>
      </c>
      <c r="C512" s="3" t="inlineStr">
        <is>
          <t>sī jī</t>
        </is>
      </c>
      <c r="D512" s="4" t="inlineStr">
        <is>
          <t>driver</t>
        </is>
      </c>
      <c r="E512" s="3" t="inlineStr">
        <is>
          <t>司 sī (S+Ø (no final)) · 机 jī (J+I)</t>
        </is>
      </c>
      <c r="F512" s="3" t="inlineStr">
        <is>
          <t>1-1</t>
        </is>
      </c>
    </row>
    <row r="513" ht="15.75" customHeight="1" s="9">
      <c r="A513" s="3" t="n">
        <v>3</v>
      </c>
      <c r="B513" s="3" t="inlineStr">
        <is>
          <t>太阳</t>
        </is>
      </c>
      <c r="C513" s="3" t="inlineStr">
        <is>
          <t>tài yáng</t>
        </is>
      </c>
      <c r="D513" s="4" t="inlineStr">
        <is>
          <t>sun</t>
        </is>
      </c>
      <c r="E513" s="3" t="inlineStr">
        <is>
          <t>太 tài (T+AI) · 阳 yáng (Y+ANG)</t>
        </is>
      </c>
      <c r="F513" s="3" t="inlineStr">
        <is>
          <t>4-2</t>
        </is>
      </c>
    </row>
    <row r="514" ht="15.75" customHeight="1" s="9">
      <c r="A514" s="3" t="n">
        <v>3</v>
      </c>
      <c r="B514" s="3" t="inlineStr">
        <is>
          <t>特别</t>
        </is>
      </c>
      <c r="C514" s="3" t="inlineStr">
        <is>
          <t>tè bié</t>
        </is>
      </c>
      <c r="D514" s="4" t="inlineStr">
        <is>
          <t>special; especially</t>
        </is>
      </c>
      <c r="E514" s="3" t="inlineStr">
        <is>
          <t>特 tè (T+E) · 别 bié (B+IE)</t>
        </is>
      </c>
      <c r="F514" s="3" t="inlineStr">
        <is>
          <t>4-2</t>
        </is>
      </c>
    </row>
    <row r="515" ht="15.75" customHeight="1" s="9">
      <c r="A515" s="3" t="n">
        <v>3</v>
      </c>
      <c r="B515" s="3" t="inlineStr">
        <is>
          <t>疼</t>
        </is>
      </c>
      <c r="C515" s="3" t="inlineStr">
        <is>
          <t>téng</t>
        </is>
      </c>
      <c r="D515" s="4" t="inlineStr">
        <is>
          <t>hurt; ache</t>
        </is>
      </c>
      <c r="E515" s="3" t="inlineStr">
        <is>
          <t>疼 téng (T+(E)NG)</t>
        </is>
      </c>
      <c r="F515" s="3" t="inlineStr">
        <is>
          <t>2</t>
        </is>
      </c>
    </row>
    <row r="516" ht="15.75" customHeight="1" s="9">
      <c r="A516" s="3" t="n">
        <v>3</v>
      </c>
      <c r="B516" s="3" t="inlineStr">
        <is>
          <t>提高</t>
        </is>
      </c>
      <c r="C516" s="3" t="inlineStr">
        <is>
          <t>tí gāo</t>
        </is>
      </c>
      <c r="D516" s="4" t="inlineStr">
        <is>
          <t>improve; raise</t>
        </is>
      </c>
      <c r="E516" s="3" t="inlineStr">
        <is>
          <t>提 tí (T+I) · 高 gāo (G+AO)</t>
        </is>
      </c>
      <c r="F516" s="3" t="inlineStr">
        <is>
          <t>2-1</t>
        </is>
      </c>
    </row>
    <row r="517" ht="15.75" customHeight="1" s="9">
      <c r="A517" s="3" t="n">
        <v>3</v>
      </c>
      <c r="B517" s="3" t="inlineStr">
        <is>
          <t>体育</t>
        </is>
      </c>
      <c r="C517" s="3" t="inlineStr">
        <is>
          <t>tǐ yù</t>
        </is>
      </c>
      <c r="D517" s="4" t="inlineStr">
        <is>
          <t>sports</t>
        </is>
      </c>
      <c r="E517" s="3" t="inlineStr">
        <is>
          <t>体 tǐ (T+I) · 育 yù (Y+U)</t>
        </is>
      </c>
      <c r="F517" s="3" t="inlineStr">
        <is>
          <t>3-4</t>
        </is>
      </c>
    </row>
    <row r="518" ht="15.75" customHeight="1" s="9">
      <c r="A518" s="3" t="n">
        <v>3</v>
      </c>
      <c r="B518" s="3" t="inlineStr">
        <is>
          <t>甜</t>
        </is>
      </c>
      <c r="C518" s="3" t="inlineStr">
        <is>
          <t>tián</t>
        </is>
      </c>
      <c r="D518" s="4" t="inlineStr">
        <is>
          <t>sweet</t>
        </is>
      </c>
      <c r="E518" s="3" t="inlineStr">
        <is>
          <t>甜 tián (T+IAN)</t>
        </is>
      </c>
      <c r="F518" s="3" t="inlineStr">
        <is>
          <t>2</t>
        </is>
      </c>
    </row>
    <row r="519" ht="15.75" customHeight="1" s="9">
      <c r="A519" s="3" t="n">
        <v>3</v>
      </c>
      <c r="B519" s="3" t="inlineStr">
        <is>
          <t>条</t>
        </is>
      </c>
      <c r="C519" s="3" t="inlineStr">
        <is>
          <t>tiáo</t>
        </is>
      </c>
      <c r="D519" s="4" t="inlineStr">
        <is>
          <t>measure word for long things</t>
        </is>
      </c>
      <c r="E519" s="3" t="inlineStr">
        <is>
          <t>条 tiáo (T+IAO)</t>
        </is>
      </c>
      <c r="F519" s="3" t="inlineStr">
        <is>
          <t>2</t>
        </is>
      </c>
    </row>
    <row r="520" ht="15.75" customHeight="1" s="9">
      <c r="A520" s="3" t="n">
        <v>3</v>
      </c>
      <c r="B520" s="3" t="inlineStr">
        <is>
          <t>同事</t>
        </is>
      </c>
      <c r="C520" s="3" t="inlineStr">
        <is>
          <t>tóng shì</t>
        </is>
      </c>
      <c r="D520" s="4" t="inlineStr">
        <is>
          <t>colleague</t>
        </is>
      </c>
      <c r="E520" s="3" t="inlineStr">
        <is>
          <t>同 tóng (T+ONG) · 事 shì (SH+Ø (no final))</t>
        </is>
      </c>
      <c r="F520" s="3" t="inlineStr">
        <is>
          <t>2-4</t>
        </is>
      </c>
    </row>
    <row r="521" ht="15.75" customHeight="1" s="9">
      <c r="A521" s="3" t="n">
        <v>3</v>
      </c>
      <c r="B521" s="3" t="inlineStr">
        <is>
          <t>同意</t>
        </is>
      </c>
      <c r="C521" s="3" t="inlineStr">
        <is>
          <t>tóng yì</t>
        </is>
      </c>
      <c r="D521" s="4" t="inlineStr">
        <is>
          <t>agree</t>
        </is>
      </c>
      <c r="E521" s="3" t="inlineStr">
        <is>
          <t>同 tóng (T+ONG) · 意 yì (Y+I)</t>
        </is>
      </c>
      <c r="F521" s="3" t="inlineStr">
        <is>
          <t>2-4</t>
        </is>
      </c>
    </row>
    <row r="522" ht="15.75" customHeight="1" s="9">
      <c r="A522" s="3" t="n">
        <v>3</v>
      </c>
      <c r="B522" s="3" t="inlineStr">
        <is>
          <t>头发</t>
        </is>
      </c>
      <c r="C522" s="3" t="inlineStr">
        <is>
          <t>tóu fa</t>
        </is>
      </c>
      <c r="D522" s="4" t="inlineStr">
        <is>
          <t>hair</t>
        </is>
      </c>
      <c r="E522" s="3" t="inlineStr">
        <is>
          <t>头 tóu (T+OU) · 发 fa (F+A)</t>
        </is>
      </c>
      <c r="F522" s="3" t="inlineStr">
        <is>
          <t>2-5</t>
        </is>
      </c>
    </row>
    <row r="523" ht="15.75" customHeight="1" s="9">
      <c r="A523" s="3" t="n">
        <v>3</v>
      </c>
      <c r="B523" s="3" t="inlineStr">
        <is>
          <t>突然</t>
        </is>
      </c>
      <c r="C523" s="3" t="inlineStr">
        <is>
          <t>tū rán</t>
        </is>
      </c>
      <c r="D523" s="4" t="inlineStr">
        <is>
          <t>suddenly</t>
        </is>
      </c>
      <c r="E523" s="3" t="inlineStr">
        <is>
          <t>突 tū (T+U) · 然 rán (R+AN)</t>
        </is>
      </c>
      <c r="F523" s="3" t="inlineStr">
        <is>
          <t>1-2</t>
        </is>
      </c>
    </row>
    <row r="524" ht="15.75" customHeight="1" s="9">
      <c r="A524" s="3" t="n">
        <v>3</v>
      </c>
      <c r="B524" s="3" t="inlineStr">
        <is>
          <t>图书馆</t>
        </is>
      </c>
      <c r="C524" s="3" t="inlineStr">
        <is>
          <t>tú shū guǎn</t>
        </is>
      </c>
      <c r="D524" s="4" t="inlineStr">
        <is>
          <t>library</t>
        </is>
      </c>
      <c r="E524" s="3" t="inlineStr">
        <is>
          <t>图 tú (T+U) · 书 shū (SH+U) · 馆 guǎn (G+UAN (14th, Jacob-specific))</t>
        </is>
      </c>
      <c r="F524" s="3" t="inlineStr">
        <is>
          <t>2-1-3</t>
        </is>
      </c>
    </row>
    <row r="525" ht="15.75" customHeight="1" s="9">
      <c r="A525" s="3" t="n">
        <v>3</v>
      </c>
      <c r="B525" s="3" t="inlineStr">
        <is>
          <t>腿</t>
        </is>
      </c>
      <c r="C525" s="3" t="inlineStr">
        <is>
          <t>tuǐ</t>
        </is>
      </c>
      <c r="D525" s="4" t="inlineStr">
        <is>
          <t>leg</t>
        </is>
      </c>
      <c r="E525" s="3" t="inlineStr">
        <is>
          <t>腿 tuǐ (T+UI)</t>
        </is>
      </c>
      <c r="F525" s="3" t="inlineStr">
        <is>
          <t>3</t>
        </is>
      </c>
    </row>
    <row r="526" ht="15.75" customHeight="1" s="9">
      <c r="A526" s="3" t="n">
        <v>3</v>
      </c>
      <c r="B526" s="3" t="inlineStr">
        <is>
          <t>完成</t>
        </is>
      </c>
      <c r="C526" s="3" t="inlineStr">
        <is>
          <t>wán chéng</t>
        </is>
      </c>
      <c r="D526" s="4" t="inlineStr">
        <is>
          <t>complete</t>
        </is>
      </c>
      <c r="E526" s="3" t="inlineStr">
        <is>
          <t>完 wán (W+AN) · 成 chéng (CH+(E)NG)</t>
        </is>
      </c>
      <c r="F526" s="3" t="inlineStr">
        <is>
          <t>2-2</t>
        </is>
      </c>
    </row>
    <row r="527" ht="15.75" customHeight="1" s="9">
      <c r="A527" s="3" t="n">
        <v>3</v>
      </c>
      <c r="B527" s="3" t="inlineStr">
        <is>
          <t>碗</t>
        </is>
      </c>
      <c r="C527" s="3" t="inlineStr">
        <is>
          <t>wǎn</t>
        </is>
      </c>
      <c r="D527" s="4" t="inlineStr">
        <is>
          <t>bowl</t>
        </is>
      </c>
      <c r="E527" s="3" t="inlineStr">
        <is>
          <t>碗 wǎn (W+AN)</t>
        </is>
      </c>
      <c r="F527" s="3" t="inlineStr">
        <is>
          <t>3</t>
        </is>
      </c>
    </row>
    <row r="528" ht="15.75" customHeight="1" s="9">
      <c r="A528" s="3" t="n">
        <v>3</v>
      </c>
      <c r="B528" s="3" t="inlineStr">
        <is>
          <t>万</t>
        </is>
      </c>
      <c r="C528" s="3" t="inlineStr">
        <is>
          <t>wàn</t>
        </is>
      </c>
      <c r="D528" s="4" t="inlineStr">
        <is>
          <t>ten thousand</t>
        </is>
      </c>
      <c r="E528" s="3" t="inlineStr">
        <is>
          <t>万 wàn (W+AN)</t>
        </is>
      </c>
      <c r="F528" s="3" t="inlineStr">
        <is>
          <t>4</t>
        </is>
      </c>
    </row>
    <row r="529" ht="15.75" customHeight="1" s="9">
      <c r="A529" s="3" t="n">
        <v>3</v>
      </c>
      <c r="B529" s="3" t="inlineStr">
        <is>
          <t>忘记</t>
        </is>
      </c>
      <c r="C529" s="3" t="inlineStr">
        <is>
          <t>wàng jì</t>
        </is>
      </c>
      <c r="D529" s="4" t="inlineStr">
        <is>
          <t>forget</t>
        </is>
      </c>
      <c r="E529" s="3" t="inlineStr">
        <is>
          <t>忘 wàng (W+ANG) · 记 jì (J+I)</t>
        </is>
      </c>
      <c r="F529" s="3" t="inlineStr">
        <is>
          <t>4-4</t>
        </is>
      </c>
    </row>
    <row r="530" ht="15.75" customHeight="1" s="9">
      <c r="A530" s="3" t="n">
        <v>3</v>
      </c>
      <c r="B530" s="3" t="inlineStr">
        <is>
          <t>为</t>
        </is>
      </c>
      <c r="C530" s="3" t="inlineStr">
        <is>
          <t>wèi</t>
        </is>
      </c>
      <c r="D530" s="4" t="inlineStr">
        <is>
          <t>for; because of</t>
        </is>
      </c>
      <c r="E530" s="3" t="inlineStr">
        <is>
          <t>为 wèi (W+EI)</t>
        </is>
      </c>
      <c r="F530" s="3" t="inlineStr">
        <is>
          <t>4</t>
        </is>
      </c>
    </row>
    <row r="531" ht="15.75" customHeight="1" s="9">
      <c r="A531" s="3" t="n">
        <v>3</v>
      </c>
      <c r="B531" s="3" t="inlineStr">
        <is>
          <t>为了</t>
        </is>
      </c>
      <c r="C531" s="3" t="inlineStr">
        <is>
          <t>wèi le</t>
        </is>
      </c>
      <c r="D531" s="4" t="inlineStr">
        <is>
          <t>in order to</t>
        </is>
      </c>
      <c r="E531" s="3" t="inlineStr">
        <is>
          <t>为 wèi (W+EI) · 了 le (L+E)</t>
        </is>
      </c>
      <c r="F531" s="3" t="inlineStr">
        <is>
          <t>4-5</t>
        </is>
      </c>
    </row>
    <row r="532" ht="15.75" customHeight="1" s="9">
      <c r="A532" s="3" t="n">
        <v>3</v>
      </c>
      <c r="B532" s="3" t="inlineStr">
        <is>
          <t>位</t>
        </is>
      </c>
      <c r="C532" s="3" t="inlineStr">
        <is>
          <t>wèi</t>
        </is>
      </c>
      <c r="D532" s="4" t="inlineStr">
        <is>
          <t>honorific measure word</t>
        </is>
      </c>
      <c r="E532" s="3" t="inlineStr">
        <is>
          <t>位 wèi (W+EI)</t>
        </is>
      </c>
      <c r="F532" s="3" t="inlineStr">
        <is>
          <t>4</t>
        </is>
      </c>
    </row>
    <row r="533" ht="15.75" customHeight="1" s="9">
      <c r="A533" s="3" t="n">
        <v>3</v>
      </c>
      <c r="B533" s="3" t="inlineStr">
        <is>
          <t>文化</t>
        </is>
      </c>
      <c r="C533" s="3" t="inlineStr">
        <is>
          <t>wén huà</t>
        </is>
      </c>
      <c r="D533" s="4" t="inlineStr">
        <is>
          <t>culture</t>
        </is>
      </c>
      <c r="E533" s="3" t="inlineStr">
        <is>
          <t>文 wén (W+(E)N) · 化 huà (H+UA)</t>
        </is>
      </c>
      <c r="F533" s="3" t="inlineStr">
        <is>
          <t>2-4</t>
        </is>
      </c>
    </row>
    <row r="534" ht="15.75" customHeight="1" s="9">
      <c r="A534" s="3" t="n">
        <v>3</v>
      </c>
      <c r="B534" s="3" t="inlineStr">
        <is>
          <t>西</t>
        </is>
      </c>
      <c r="C534" s="3" t="inlineStr">
        <is>
          <t>xī</t>
        </is>
      </c>
      <c r="D534" s="4" t="inlineStr">
        <is>
          <t>west</t>
        </is>
      </c>
      <c r="E534" s="3" t="inlineStr">
        <is>
          <t>西 xī (X+I)</t>
        </is>
      </c>
      <c r="F534" s="3" t="inlineStr">
        <is>
          <t>1</t>
        </is>
      </c>
    </row>
    <row r="535" ht="15.75" customHeight="1" s="9">
      <c r="A535" s="3" t="n">
        <v>3</v>
      </c>
      <c r="B535" s="3" t="inlineStr">
        <is>
          <t>习惯</t>
        </is>
      </c>
      <c r="C535" s="3" t="inlineStr">
        <is>
          <t>xí guàn</t>
        </is>
      </c>
      <c r="D535" s="4" t="inlineStr">
        <is>
          <t>habit; be used to</t>
        </is>
      </c>
      <c r="E535" s="3" t="inlineStr">
        <is>
          <t>习 xí (X+I) · 惯 guàn (G+UAN (14th, Jacob-specific))</t>
        </is>
      </c>
      <c r="F535" s="3" t="inlineStr">
        <is>
          <t>2-4</t>
        </is>
      </c>
    </row>
    <row r="536" ht="15.75" customHeight="1" s="9">
      <c r="A536" s="3" t="n">
        <v>3</v>
      </c>
      <c r="B536" s="3" t="inlineStr">
        <is>
          <t>洗手间</t>
        </is>
      </c>
      <c r="C536" s="3" t="inlineStr">
        <is>
          <t>xǐ shǒu jiān</t>
        </is>
      </c>
      <c r="D536" s="4" t="inlineStr">
        <is>
          <t>restroom</t>
        </is>
      </c>
      <c r="E536" s="3" t="inlineStr">
        <is>
          <t>洗 xǐ (X+I) · 手 shǒu (SH+OU) · 间 jiān (J+IAN)</t>
        </is>
      </c>
      <c r="F536" s="3" t="inlineStr">
        <is>
          <t>3-3-1</t>
        </is>
      </c>
    </row>
    <row r="537" ht="15.75" customHeight="1" s="9">
      <c r="A537" s="3" t="n">
        <v>3</v>
      </c>
      <c r="B537" s="3" t="inlineStr">
        <is>
          <t>洗澡</t>
        </is>
      </c>
      <c r="C537" s="3" t="inlineStr">
        <is>
          <t>xǐ zǎo</t>
        </is>
      </c>
      <c r="D537" s="4" t="inlineStr">
        <is>
          <t>take a shower</t>
        </is>
      </c>
      <c r="E537" s="3" t="inlineStr">
        <is>
          <t>洗 xǐ (X+I) · 澡 zǎo (Z+AO)</t>
        </is>
      </c>
      <c r="F537" s="3" t="inlineStr">
        <is>
          <t>3-3</t>
        </is>
      </c>
    </row>
    <row r="538" ht="15.75" customHeight="1" s="9">
      <c r="A538" s="3" t="n">
        <v>3</v>
      </c>
      <c r="B538" s="3" t="inlineStr">
        <is>
          <t>夏</t>
        </is>
      </c>
      <c r="C538" s="3" t="inlineStr">
        <is>
          <t>xià</t>
        </is>
      </c>
      <c r="D538" s="4" t="inlineStr">
        <is>
          <t>summer</t>
        </is>
      </c>
      <c r="E538" s="3" t="inlineStr">
        <is>
          <t>夏 xià (X+IA)</t>
        </is>
      </c>
      <c r="F538" s="3" t="inlineStr">
        <is>
          <t>4</t>
        </is>
      </c>
    </row>
    <row r="539" ht="15.75" customHeight="1" s="9">
      <c r="A539" s="3" t="n">
        <v>3</v>
      </c>
      <c r="B539" s="3" t="inlineStr">
        <is>
          <t>先</t>
        </is>
      </c>
      <c r="C539" s="3" t="inlineStr">
        <is>
          <t>xiān</t>
        </is>
      </c>
      <c r="D539" s="4" t="inlineStr">
        <is>
          <t>first; before</t>
        </is>
      </c>
      <c r="E539" s="3" t="inlineStr">
        <is>
          <t>先 xiān (X+IAN)</t>
        </is>
      </c>
      <c r="F539" s="3" t="inlineStr">
        <is>
          <t>1</t>
        </is>
      </c>
    </row>
    <row r="540" ht="15.75" customHeight="1" s="9">
      <c r="A540" s="3" t="n">
        <v>3</v>
      </c>
      <c r="B540" s="3" t="inlineStr">
        <is>
          <t>相信</t>
        </is>
      </c>
      <c r="C540" s="3" t="inlineStr">
        <is>
          <t>xiāng xìn</t>
        </is>
      </c>
      <c r="D540" s="4" t="inlineStr">
        <is>
          <t>believe</t>
        </is>
      </c>
      <c r="E540" s="3" t="inlineStr">
        <is>
          <t>相 xiāng (X+IANG) · 信 xìn (X+IN)</t>
        </is>
      </c>
      <c r="F540" s="3" t="inlineStr">
        <is>
          <t>1-4</t>
        </is>
      </c>
    </row>
    <row r="541" ht="15.75" customHeight="1" s="9">
      <c r="A541" s="3" t="n">
        <v>3</v>
      </c>
      <c r="B541" s="3" t="inlineStr">
        <is>
          <t>香蕉</t>
        </is>
      </c>
      <c r="C541" s="3" t="inlineStr">
        <is>
          <t>xiāng jiāo</t>
        </is>
      </c>
      <c r="D541" s="4" t="inlineStr">
        <is>
          <t>banana</t>
        </is>
      </c>
      <c r="E541" s="3" t="inlineStr">
        <is>
          <t>香 xiāng (X+IANG) · 蕉 jiāo (J+IAO)</t>
        </is>
      </c>
      <c r="F541" s="3" t="inlineStr">
        <is>
          <t>1-1</t>
        </is>
      </c>
    </row>
    <row r="542" ht="15.75" customHeight="1" s="9">
      <c r="A542" s="3" t="n">
        <v>3</v>
      </c>
      <c r="B542" s="3" t="inlineStr">
        <is>
          <t>像</t>
        </is>
      </c>
      <c r="C542" s="3" t="inlineStr">
        <is>
          <t>xiàng</t>
        </is>
      </c>
      <c r="D542" s="4" t="inlineStr">
        <is>
          <t>look like</t>
        </is>
      </c>
      <c r="E542" s="3" t="inlineStr">
        <is>
          <t>像 xiàng (X+IANG)</t>
        </is>
      </c>
      <c r="F542" s="3" t="inlineStr">
        <is>
          <t>4</t>
        </is>
      </c>
    </row>
    <row r="543" ht="15.75" customHeight="1" s="9">
      <c r="A543" s="3" t="n">
        <v>3</v>
      </c>
      <c r="B543" s="3" t="inlineStr">
        <is>
          <t>向</t>
        </is>
      </c>
      <c r="C543" s="3" t="inlineStr">
        <is>
          <t>xiàng</t>
        </is>
      </c>
      <c r="D543" s="4" t="inlineStr">
        <is>
          <t>toward</t>
        </is>
      </c>
      <c r="E543" s="3" t="inlineStr">
        <is>
          <t>向 xiàng (X+IANG)</t>
        </is>
      </c>
      <c r="F543" s="3" t="inlineStr">
        <is>
          <t>4</t>
        </is>
      </c>
    </row>
    <row r="544" ht="15.75" customHeight="1" s="9">
      <c r="A544" s="3" t="n">
        <v>3</v>
      </c>
      <c r="B544" s="3" t="inlineStr">
        <is>
          <t>小心</t>
        </is>
      </c>
      <c r="C544" s="3" t="inlineStr">
        <is>
          <t>xiǎo xīn</t>
        </is>
      </c>
      <c r="D544" s="4" t="inlineStr">
        <is>
          <t>be careful</t>
        </is>
      </c>
      <c r="E544" s="3" t="inlineStr">
        <is>
          <t>小 xiǎo (X+IAO) · 心 xīn (X+IN)</t>
        </is>
      </c>
      <c r="F544" s="3" t="inlineStr">
        <is>
          <t>3-1</t>
        </is>
      </c>
    </row>
    <row r="545" ht="15.75" customHeight="1" s="9">
      <c r="A545" s="3" t="n">
        <v>3</v>
      </c>
      <c r="B545" s="3" t="inlineStr">
        <is>
          <t>校长</t>
        </is>
      </c>
      <c r="C545" s="3" t="inlineStr">
        <is>
          <t>xiào zhǎng</t>
        </is>
      </c>
      <c r="D545" s="4" t="inlineStr">
        <is>
          <t>principal</t>
        </is>
      </c>
      <c r="E545" s="3" t="inlineStr">
        <is>
          <t>校 xiào (X+IAO) · 长 zhǎng (ZH+ANG)</t>
        </is>
      </c>
      <c r="F545" s="3" t="inlineStr">
        <is>
          <t>4-3</t>
        </is>
      </c>
    </row>
    <row r="546" ht="15.75" customHeight="1" s="9">
      <c r="A546" s="3" t="n">
        <v>3</v>
      </c>
      <c r="B546" s="3" t="inlineStr">
        <is>
          <t>新闻</t>
        </is>
      </c>
      <c r="C546" s="3" t="inlineStr">
        <is>
          <t>xīn wén</t>
        </is>
      </c>
      <c r="D546" s="4" t="inlineStr">
        <is>
          <t>news</t>
        </is>
      </c>
      <c r="E546" s="3" t="inlineStr">
        <is>
          <t>新 xīn (X+IN) · 闻 wén (W+(E)N)</t>
        </is>
      </c>
      <c r="F546" s="3" t="inlineStr">
        <is>
          <t>1-2</t>
        </is>
      </c>
    </row>
    <row r="547" ht="15.75" customHeight="1" s="9">
      <c r="A547" s="3" t="n">
        <v>3</v>
      </c>
      <c r="B547" s="3" t="inlineStr">
        <is>
          <t>新鲜</t>
        </is>
      </c>
      <c r="C547" s="3" t="inlineStr">
        <is>
          <t>xīn xiān</t>
        </is>
      </c>
      <c r="D547" s="4" t="inlineStr">
        <is>
          <t>fresh</t>
        </is>
      </c>
      <c r="E547" s="3" t="inlineStr">
        <is>
          <t>新 xīn (X+IN) · 鲜 xiān (X+IAN)</t>
        </is>
      </c>
      <c r="F547" s="3" t="inlineStr">
        <is>
          <t>1-1</t>
        </is>
      </c>
    </row>
    <row r="548" ht="15.75" customHeight="1" s="9">
      <c r="A548" s="3" t="n">
        <v>3</v>
      </c>
      <c r="B548" s="3" t="inlineStr">
        <is>
          <t>信用卡</t>
        </is>
      </c>
      <c r="C548" s="3" t="inlineStr">
        <is>
          <t>xìn yòng kǎ</t>
        </is>
      </c>
      <c r="D548" s="4" t="inlineStr">
        <is>
          <t>credit card</t>
        </is>
      </c>
      <c r="E548" s="3" t="inlineStr">
        <is>
          <t>信 xìn (X+IN) · 用 yòng (Y+ONG) · 卡 kǎ (K+A)</t>
        </is>
      </c>
      <c r="F548" s="3" t="inlineStr">
        <is>
          <t>4-4-3</t>
        </is>
      </c>
    </row>
    <row r="549" ht="15.75" customHeight="1" s="9">
      <c r="A549" s="3" t="n">
        <v>3</v>
      </c>
      <c r="B549" s="3" t="inlineStr">
        <is>
          <t>行李箱</t>
        </is>
      </c>
      <c r="C549" s="3" t="inlineStr">
        <is>
          <t>xíng lǐ xiāng</t>
        </is>
      </c>
      <c r="D549" s="4" t="inlineStr">
        <is>
          <t>suitcase</t>
        </is>
      </c>
      <c r="E549" s="3" t="inlineStr">
        <is>
          <t>行 xíng (X+ING) · 李 lǐ (L+I) · 箱 xiāng (X+IANG)</t>
        </is>
      </c>
      <c r="F549" s="3" t="inlineStr">
        <is>
          <t>2-3-1</t>
        </is>
      </c>
    </row>
    <row r="550" ht="15.75" customHeight="1" s="9">
      <c r="A550" s="3" t="n">
        <v>3</v>
      </c>
      <c r="B550" s="3" t="inlineStr">
        <is>
          <t>熊猫</t>
        </is>
      </c>
      <c r="C550" s="3" t="inlineStr">
        <is>
          <t>xióng māo</t>
        </is>
      </c>
      <c r="D550" s="4" t="inlineStr">
        <is>
          <t>panda</t>
        </is>
      </c>
      <c r="E550" s="3" t="inlineStr">
        <is>
          <t>熊 xióng (X+IONG) · 猫 māo (M+AO)</t>
        </is>
      </c>
      <c r="F550" s="3" t="inlineStr">
        <is>
          <t>2-1</t>
        </is>
      </c>
    </row>
    <row r="551" ht="15.75" customHeight="1" s="9">
      <c r="A551" s="3" t="n">
        <v>3</v>
      </c>
      <c r="B551" s="3" t="inlineStr">
        <is>
          <t>需要</t>
        </is>
      </c>
      <c r="C551" s="3" t="inlineStr">
        <is>
          <t>xū yào</t>
        </is>
      </c>
      <c r="D551" s="4" t="inlineStr">
        <is>
          <t>need</t>
        </is>
      </c>
      <c r="E551" s="3" t="inlineStr">
        <is>
          <t>需 xū (X+U) · 要 yào (Y+AO)</t>
        </is>
      </c>
      <c r="F551" s="3" t="inlineStr">
        <is>
          <t>1-4</t>
        </is>
      </c>
    </row>
    <row r="552" ht="15.75" customHeight="1" s="9">
      <c r="A552" s="3" t="n">
        <v>3</v>
      </c>
      <c r="B552" s="3" t="inlineStr">
        <is>
          <t>选择</t>
        </is>
      </c>
      <c r="C552" s="3" t="inlineStr">
        <is>
          <t>xuǎn zé</t>
        </is>
      </c>
      <c r="D552" s="4" t="inlineStr">
        <is>
          <t>choose</t>
        </is>
      </c>
      <c r="E552" s="3" t="inlineStr">
        <is>
          <t>选 xuǎn (X+UAN (14th, Jacob-specific)) · 择 zé (Z+E)</t>
        </is>
      </c>
      <c r="F552" s="3" t="inlineStr">
        <is>
          <t>3-2</t>
        </is>
      </c>
    </row>
    <row r="553" ht="15.75" customHeight="1" s="9">
      <c r="A553" s="3" t="n">
        <v>3</v>
      </c>
      <c r="B553" s="3" t="inlineStr">
        <is>
          <t>要求</t>
        </is>
      </c>
      <c r="C553" s="3" t="inlineStr">
        <is>
          <t>yāo qiú</t>
        </is>
      </c>
      <c r="D553" s="4" t="inlineStr">
        <is>
          <t>request; require</t>
        </is>
      </c>
      <c r="E553" s="3" t="inlineStr">
        <is>
          <t>要 yāo (Y+AO) · 求 qiú (Q+IU)</t>
        </is>
      </c>
      <c r="F553" s="3" t="inlineStr">
        <is>
          <t>1-2</t>
        </is>
      </c>
    </row>
    <row r="554" ht="15.75" customHeight="1" s="9">
      <c r="A554" s="3" t="n">
        <v>3</v>
      </c>
      <c r="B554" s="3" t="inlineStr">
        <is>
          <t>爷爷</t>
        </is>
      </c>
      <c r="C554" s="3" t="inlineStr">
        <is>
          <t>yé ye</t>
        </is>
      </c>
      <c r="D554" s="4" t="inlineStr">
        <is>
          <t>grandfather</t>
        </is>
      </c>
      <c r="E554" s="3" t="inlineStr">
        <is>
          <t>爷 yé (Y+E) · 爷 ye (Y+E)</t>
        </is>
      </c>
      <c r="F554" s="3" t="inlineStr">
        <is>
          <t>2-5</t>
        </is>
      </c>
    </row>
    <row r="555" ht="15.75" customHeight="1" s="9">
      <c r="A555" s="3" t="n">
        <v>3</v>
      </c>
      <c r="B555" s="3" t="inlineStr">
        <is>
          <t>一直</t>
        </is>
      </c>
      <c r="C555" s="3" t="inlineStr">
        <is>
          <t>yī zhí</t>
        </is>
      </c>
      <c r="D555" s="4" t="inlineStr">
        <is>
          <t>always; continuously</t>
        </is>
      </c>
      <c r="E555" s="3" t="inlineStr">
        <is>
          <t>一 yī (Y+I) · 直 zhí (ZH+Ø (no final))</t>
        </is>
      </c>
      <c r="F555" s="3" t="inlineStr">
        <is>
          <t>1-2</t>
        </is>
      </c>
    </row>
    <row r="556" ht="15.75" customHeight="1" s="9">
      <c r="A556" s="3" t="n">
        <v>3</v>
      </c>
      <c r="B556" s="3" t="inlineStr">
        <is>
          <t>一定</t>
        </is>
      </c>
      <c r="C556" s="3" t="inlineStr">
        <is>
          <t>yí dìng</t>
        </is>
      </c>
      <c r="D556" s="4" t="inlineStr">
        <is>
          <t>certainly; must</t>
        </is>
      </c>
      <c r="E556" s="3" t="inlineStr">
        <is>
          <t>一 yí (Y+I) · 定 dìng (D+ING)</t>
        </is>
      </c>
      <c r="F556" s="3" t="inlineStr">
        <is>
          <t>2-4</t>
        </is>
      </c>
    </row>
    <row r="557" ht="15.75" customHeight="1" s="9">
      <c r="A557" s="3" t="n">
        <v>3</v>
      </c>
      <c r="B557" s="3" t="inlineStr">
        <is>
          <t>一共</t>
        </is>
      </c>
      <c r="C557" s="3" t="inlineStr">
        <is>
          <t>yī gòng</t>
        </is>
      </c>
      <c r="D557" s="4" t="inlineStr">
        <is>
          <t>altogether</t>
        </is>
      </c>
      <c r="E557" s="3" t="inlineStr">
        <is>
          <t>一 yī (Y+I) · 共 gòng (G+ONG)</t>
        </is>
      </c>
      <c r="F557" s="3" t="inlineStr">
        <is>
          <t>1-4</t>
        </is>
      </c>
    </row>
    <row r="558" ht="15.75" customHeight="1" s="9">
      <c r="A558" s="3" t="n">
        <v>3</v>
      </c>
      <c r="B558" s="3" t="inlineStr">
        <is>
          <t>一会儿</t>
        </is>
      </c>
      <c r="C558" s="3" t="inlineStr">
        <is>
          <t>yī huì er</t>
        </is>
      </c>
      <c r="D558" s="4" t="inlineStr">
        <is>
          <t>a while</t>
        </is>
      </c>
      <c r="E558" s="3" t="inlineStr">
        <is>
          <t>一 yī (Y+I) · 会 huì (H+UI) · 儿 er (Ø+ER)</t>
        </is>
      </c>
      <c r="F558" s="3" t="inlineStr">
        <is>
          <t>1-4-5</t>
        </is>
      </c>
    </row>
    <row r="559" ht="15.75" customHeight="1" s="9">
      <c r="A559" s="3" t="n">
        <v>3</v>
      </c>
      <c r="B559" s="3" t="inlineStr">
        <is>
          <t>一样</t>
        </is>
      </c>
      <c r="C559" s="3" t="inlineStr">
        <is>
          <t>yī yàng</t>
        </is>
      </c>
      <c r="D559" s="4" t="inlineStr">
        <is>
          <t>same</t>
        </is>
      </c>
      <c r="E559" s="3" t="inlineStr">
        <is>
          <t>一 yī (Y+I) · 样 yàng (Y+ANG)</t>
        </is>
      </c>
      <c r="F559" s="3" t="inlineStr">
        <is>
          <t>1-4</t>
        </is>
      </c>
    </row>
    <row r="560" ht="15.75" customHeight="1" s="9">
      <c r="A560" s="3" t="n">
        <v>3</v>
      </c>
      <c r="B560" s="3" t="inlineStr">
        <is>
          <t>以前</t>
        </is>
      </c>
      <c r="C560" s="3" t="inlineStr">
        <is>
          <t>yǐ qián</t>
        </is>
      </c>
      <c r="D560" s="4" t="inlineStr">
        <is>
          <t>before</t>
        </is>
      </c>
      <c r="E560" s="3" t="inlineStr">
        <is>
          <t>以 yǐ (Y+I) · 前 qián (Q+IAN)</t>
        </is>
      </c>
      <c r="F560" s="3" t="inlineStr">
        <is>
          <t>3-2</t>
        </is>
      </c>
    </row>
    <row r="561" ht="15.75" customHeight="1" s="9">
      <c r="A561" s="3" t="n">
        <v>3</v>
      </c>
      <c r="B561" s="3" t="inlineStr">
        <is>
          <t>一般</t>
        </is>
      </c>
      <c r="C561" s="3" t="inlineStr">
        <is>
          <t>yī bān</t>
        </is>
      </c>
      <c r="D561" s="4" t="inlineStr">
        <is>
          <t>ordinary; generally</t>
        </is>
      </c>
      <c r="E561" s="3" t="inlineStr">
        <is>
          <t>一 yī (Y+I) · 般 bān (B+AN)</t>
        </is>
      </c>
      <c r="F561" s="3" t="inlineStr">
        <is>
          <t>1-1</t>
        </is>
      </c>
    </row>
    <row r="562" ht="15.75" customHeight="1" s="9">
      <c r="A562" s="3" t="n">
        <v>3</v>
      </c>
      <c r="B562" s="3" t="inlineStr">
        <is>
          <t>一边</t>
        </is>
      </c>
      <c r="C562" s="3" t="inlineStr">
        <is>
          <t>yī biān</t>
        </is>
      </c>
      <c r="D562" s="4" t="inlineStr">
        <is>
          <t>one side; while</t>
        </is>
      </c>
      <c r="E562" s="3" t="inlineStr">
        <is>
          <t>一 yī (Y+I) · 边 biān (B+IAN)</t>
        </is>
      </c>
      <c r="F562" s="3" t="inlineStr">
        <is>
          <t>1-1</t>
        </is>
      </c>
    </row>
    <row r="563" ht="15.75" customHeight="1" s="9">
      <c r="A563" s="3" t="n">
        <v>3</v>
      </c>
      <c r="B563" s="3" t="inlineStr">
        <is>
          <t>音乐</t>
        </is>
      </c>
      <c r="C563" s="3" t="inlineStr">
        <is>
          <t>yīn yuè</t>
        </is>
      </c>
      <c r="D563" s="4" t="inlineStr">
        <is>
          <t>music</t>
        </is>
      </c>
      <c r="E563" s="3" t="inlineStr">
        <is>
          <t>音 yīn (Y+IN) · 乐 yuè (Y+UE)</t>
        </is>
      </c>
      <c r="F563" s="3" t="inlineStr">
        <is>
          <t>1-4</t>
        </is>
      </c>
    </row>
    <row r="564" ht="15.75" customHeight="1" s="9">
      <c r="A564" s="3" t="n">
        <v>3</v>
      </c>
      <c r="B564" s="3" t="inlineStr">
        <is>
          <t>银行</t>
        </is>
      </c>
      <c r="C564" s="3" t="inlineStr">
        <is>
          <t>yín háng</t>
        </is>
      </c>
      <c r="D564" s="4" t="inlineStr">
        <is>
          <t>bank</t>
        </is>
      </c>
      <c r="E564" s="3" t="inlineStr">
        <is>
          <t>银 yín (Y+IN) · 行 háng (H+ANG)</t>
        </is>
      </c>
      <c r="F564" s="3" t="inlineStr">
        <is>
          <t>2-2</t>
        </is>
      </c>
    </row>
    <row r="565" ht="15.75" customHeight="1" s="9">
      <c r="A565" s="3" t="n">
        <v>3</v>
      </c>
      <c r="B565" s="3" t="inlineStr">
        <is>
          <t>饮料</t>
        </is>
      </c>
      <c r="C565" s="3" t="inlineStr">
        <is>
          <t>yǐn liào</t>
        </is>
      </c>
      <c r="D565" s="4" t="inlineStr">
        <is>
          <t>drink</t>
        </is>
      </c>
      <c r="E565" s="3" t="inlineStr">
        <is>
          <t>饮 yǐn (Y+IN) · 料 liào (L+IAO)</t>
        </is>
      </c>
      <c r="F565" s="3" t="inlineStr">
        <is>
          <t>3-4</t>
        </is>
      </c>
    </row>
    <row r="566" ht="15.75" customHeight="1" s="9">
      <c r="A566" s="3" t="n">
        <v>3</v>
      </c>
      <c r="B566" s="3" t="inlineStr">
        <is>
          <t>应该</t>
        </is>
      </c>
      <c r="C566" s="3" t="inlineStr">
        <is>
          <t>yīng gāi</t>
        </is>
      </c>
      <c r="D566" s="4" t="inlineStr">
        <is>
          <t>should</t>
        </is>
      </c>
      <c r="E566" s="3" t="inlineStr">
        <is>
          <t>应 yīng (Y+ING) · 该 gāi (G+AI)</t>
        </is>
      </c>
      <c r="F566" s="3" t="inlineStr">
        <is>
          <t>1-1</t>
        </is>
      </c>
    </row>
    <row r="567" ht="15.75" customHeight="1" s="9">
      <c r="A567" s="3" t="n">
        <v>3</v>
      </c>
      <c r="B567" s="3" t="inlineStr">
        <is>
          <t>影响</t>
        </is>
      </c>
      <c r="C567" s="3" t="inlineStr">
        <is>
          <t>yǐng xiǎng</t>
        </is>
      </c>
      <c r="D567" s="4" t="inlineStr">
        <is>
          <t>influence</t>
        </is>
      </c>
      <c r="E567" s="3" t="inlineStr">
        <is>
          <t>影 yǐng (Y+ING) · 响 xiǎng (X+IANG)</t>
        </is>
      </c>
      <c r="F567" s="3" t="inlineStr">
        <is>
          <t>3-3</t>
        </is>
      </c>
    </row>
    <row r="568" ht="15.75" customHeight="1" s="9">
      <c r="A568" s="3" t="n">
        <v>3</v>
      </c>
      <c r="B568" s="3" t="inlineStr">
        <is>
          <t>用</t>
        </is>
      </c>
      <c r="C568" s="3" t="inlineStr">
        <is>
          <t>yòng</t>
        </is>
      </c>
      <c r="D568" s="4" t="inlineStr">
        <is>
          <t>use</t>
        </is>
      </c>
      <c r="E568" s="3" t="inlineStr">
        <is>
          <t>用 yòng (Y+ONG)</t>
        </is>
      </c>
      <c r="F568" s="3" t="inlineStr">
        <is>
          <t>4</t>
        </is>
      </c>
    </row>
    <row r="569" ht="15.75" customHeight="1" s="9">
      <c r="A569" s="3" t="n">
        <v>3</v>
      </c>
      <c r="B569" s="3" t="inlineStr">
        <is>
          <t>游戏</t>
        </is>
      </c>
      <c r="C569" s="3" t="inlineStr">
        <is>
          <t>yóu xì</t>
        </is>
      </c>
      <c r="D569" s="4" t="inlineStr">
        <is>
          <t>game</t>
        </is>
      </c>
      <c r="E569" s="3" t="inlineStr">
        <is>
          <t>游 yóu (Y+OU) · 戏 xì (X+I)</t>
        </is>
      </c>
      <c r="F569" s="3" t="inlineStr">
        <is>
          <t>2-4</t>
        </is>
      </c>
    </row>
    <row r="570" ht="15.75" customHeight="1" s="9">
      <c r="A570" s="3" t="n">
        <v>3</v>
      </c>
      <c r="B570" s="3" t="inlineStr">
        <is>
          <t>有名</t>
        </is>
      </c>
      <c r="C570" s="3" t="inlineStr">
        <is>
          <t>yǒu míng</t>
        </is>
      </c>
      <c r="D570" s="4" t="inlineStr">
        <is>
          <t>famous</t>
        </is>
      </c>
      <c r="E570" s="3" t="inlineStr">
        <is>
          <t>有 yǒu (Y+OU) · 名 míng (M+ING)</t>
        </is>
      </c>
      <c r="F570" s="3" t="inlineStr">
        <is>
          <t>3-2</t>
        </is>
      </c>
    </row>
    <row r="571" ht="15.75" customHeight="1" s="9">
      <c r="A571" s="3" t="n">
        <v>3</v>
      </c>
      <c r="B571" s="3" t="inlineStr">
        <is>
          <t>又</t>
        </is>
      </c>
      <c r="C571" s="3" t="inlineStr">
        <is>
          <t>yòu</t>
        </is>
      </c>
      <c r="D571" s="4" t="inlineStr">
        <is>
          <t>again; also</t>
        </is>
      </c>
      <c r="E571" s="3" t="inlineStr">
        <is>
          <t>又 yòu (Y+OU)</t>
        </is>
      </c>
      <c r="F571" s="3" t="inlineStr">
        <is>
          <t>4</t>
        </is>
      </c>
    </row>
    <row r="572" ht="15.75" customHeight="1" s="9">
      <c r="A572" s="3" t="n">
        <v>3</v>
      </c>
      <c r="B572" s="3" t="inlineStr">
        <is>
          <t>遇到</t>
        </is>
      </c>
      <c r="C572" s="3" t="inlineStr">
        <is>
          <t>yù dào</t>
        </is>
      </c>
      <c r="D572" s="4" t="inlineStr">
        <is>
          <t>meet; encounter</t>
        </is>
      </c>
      <c r="E572" s="3" t="inlineStr">
        <is>
          <t>遇 yù (Y+U) · 到 dào (D+AO)</t>
        </is>
      </c>
      <c r="F572" s="3" t="inlineStr">
        <is>
          <t>4-4</t>
        </is>
      </c>
    </row>
    <row r="573" ht="15.75" customHeight="1" s="9">
      <c r="A573" s="3" t="n">
        <v>3</v>
      </c>
      <c r="B573" s="3" t="inlineStr">
        <is>
          <t>元</t>
        </is>
      </c>
      <c r="C573" s="3" t="inlineStr">
        <is>
          <t>yuán</t>
        </is>
      </c>
      <c r="D573" s="4" t="inlineStr">
        <is>
          <t>yuan</t>
        </is>
      </c>
      <c r="E573" s="3" t="inlineStr">
        <is>
          <t>元 yuán (Y+UAN (14th, Jacob-specific))</t>
        </is>
      </c>
      <c r="F573" s="3" t="inlineStr">
        <is>
          <t>2</t>
        </is>
      </c>
    </row>
    <row r="574" ht="15.75" customHeight="1" s="9">
      <c r="A574" s="3" t="n">
        <v>3</v>
      </c>
      <c r="B574" s="3" t="inlineStr">
        <is>
          <t>愿意</t>
        </is>
      </c>
      <c r="C574" s="3" t="inlineStr">
        <is>
          <t>yuàn yì</t>
        </is>
      </c>
      <c r="D574" s="4" t="inlineStr">
        <is>
          <t>be willing</t>
        </is>
      </c>
      <c r="E574" s="3" t="inlineStr">
        <is>
          <t>愿 yuàn (Y+UAN (14th, Jacob-specific)) · 意 yì (Y+I)</t>
        </is>
      </c>
      <c r="F574" s="3" t="inlineStr">
        <is>
          <t>4-4</t>
        </is>
      </c>
    </row>
    <row r="575" ht="15.75" customHeight="1" s="9">
      <c r="A575" s="3" t="n">
        <v>3</v>
      </c>
      <c r="B575" s="3" t="inlineStr">
        <is>
          <t>月亮</t>
        </is>
      </c>
      <c r="C575" s="3" t="inlineStr">
        <is>
          <t>yuè liang</t>
        </is>
      </c>
      <c r="D575" s="4" t="inlineStr">
        <is>
          <t>moon</t>
        </is>
      </c>
      <c r="E575" s="3" t="inlineStr">
        <is>
          <t>月 yuè (Y+UE) · 亮 liang (L+IANG)</t>
        </is>
      </c>
      <c r="F575" s="3" t="inlineStr">
        <is>
          <t>4-5</t>
        </is>
      </c>
    </row>
    <row r="576" ht="15.75" customHeight="1" s="9">
      <c r="A576" s="3" t="n">
        <v>3</v>
      </c>
      <c r="B576" s="3" t="inlineStr">
        <is>
          <t>越</t>
        </is>
      </c>
      <c r="C576" s="3" t="inlineStr">
        <is>
          <t>yuè</t>
        </is>
      </c>
      <c r="D576" s="4" t="inlineStr">
        <is>
          <t>the more; exceed</t>
        </is>
      </c>
      <c r="E576" s="3" t="inlineStr">
        <is>
          <t>越 yuè (Y+UE)</t>
        </is>
      </c>
      <c r="F576" s="3" t="inlineStr">
        <is>
          <t>4</t>
        </is>
      </c>
    </row>
    <row r="577" ht="15.75" customHeight="1" s="9">
      <c r="A577" s="3" t="n">
        <v>3</v>
      </c>
      <c r="B577" s="3" t="inlineStr">
        <is>
          <t>站</t>
        </is>
      </c>
      <c r="C577" s="3" t="inlineStr">
        <is>
          <t>zhàn</t>
        </is>
      </c>
      <c r="D577" s="4" t="inlineStr">
        <is>
          <t>stand; station</t>
        </is>
      </c>
      <c r="E577" s="3" t="inlineStr">
        <is>
          <t>站 zhàn (ZH+AN)</t>
        </is>
      </c>
      <c r="F577" s="3" t="inlineStr">
        <is>
          <t>4</t>
        </is>
      </c>
    </row>
    <row r="578" ht="15.75" customHeight="1" s="9">
      <c r="A578" s="3" t="n">
        <v>3</v>
      </c>
      <c r="B578" s="3" t="inlineStr">
        <is>
          <t>张</t>
        </is>
      </c>
      <c r="C578" s="3" t="inlineStr">
        <is>
          <t>zhāng</t>
        </is>
      </c>
      <c r="D578" s="4" t="inlineStr">
        <is>
          <t>measure word for flat things</t>
        </is>
      </c>
      <c r="E578" s="3" t="inlineStr">
        <is>
          <t>张 zhāng (ZH+ANG)</t>
        </is>
      </c>
      <c r="F578" s="3" t="inlineStr">
        <is>
          <t>1</t>
        </is>
      </c>
    </row>
    <row r="579" ht="15.75" customHeight="1" s="9">
      <c r="A579" s="3" t="n">
        <v>3</v>
      </c>
      <c r="B579" s="3" t="inlineStr">
        <is>
          <t>长</t>
        </is>
      </c>
      <c r="C579" s="3" t="inlineStr">
        <is>
          <t>zhǎng</t>
        </is>
      </c>
      <c r="D579" s="4" t="inlineStr">
        <is>
          <t>grow; elder</t>
        </is>
      </c>
      <c r="E579" s="3" t="inlineStr">
        <is>
          <t>长 zhǎng (ZH+ANG)</t>
        </is>
      </c>
      <c r="F579" s="3" t="inlineStr">
        <is>
          <t>3</t>
        </is>
      </c>
    </row>
    <row r="580" ht="15.75" customHeight="1" s="9">
      <c r="A580" s="3" t="n">
        <v>3</v>
      </c>
      <c r="B580" s="3" t="inlineStr">
        <is>
          <t>着急</t>
        </is>
      </c>
      <c r="C580" s="3" t="inlineStr">
        <is>
          <t>zháo jí</t>
        </is>
      </c>
      <c r="D580" s="4" t="inlineStr">
        <is>
          <t>anxious</t>
        </is>
      </c>
      <c r="E580" s="3" t="inlineStr">
        <is>
          <t>着 zháo (ZH+AO) · 急 jí (J+I)</t>
        </is>
      </c>
      <c r="F580" s="3" t="inlineStr">
        <is>
          <t>2-2</t>
        </is>
      </c>
    </row>
    <row r="581" ht="15.75" customHeight="1" s="9">
      <c r="A581" s="3" t="n">
        <v>3</v>
      </c>
      <c r="B581" s="3" t="inlineStr">
        <is>
          <t>照顾</t>
        </is>
      </c>
      <c r="C581" s="3" t="inlineStr">
        <is>
          <t>zhào gu</t>
        </is>
      </c>
      <c r="D581" s="4" t="inlineStr">
        <is>
          <t>take care of</t>
        </is>
      </c>
      <c r="E581" s="3" t="inlineStr">
        <is>
          <t>照 zhào (ZH+AO) · 顾 gu (G+U)</t>
        </is>
      </c>
      <c r="F581" s="3" t="inlineStr">
        <is>
          <t>4-5</t>
        </is>
      </c>
    </row>
    <row r="582" ht="15.75" customHeight="1" s="9">
      <c r="A582" s="3" t="n">
        <v>3</v>
      </c>
      <c r="B582" s="3" t="inlineStr">
        <is>
          <t>照片</t>
        </is>
      </c>
      <c r="C582" s="3" t="inlineStr">
        <is>
          <t>zhào piàn</t>
        </is>
      </c>
      <c r="D582" s="4" t="inlineStr">
        <is>
          <t>photo</t>
        </is>
      </c>
      <c r="E582" s="3" t="inlineStr">
        <is>
          <t>照 zhào (ZH+AO) · 片 piàn (P+IAN)</t>
        </is>
      </c>
      <c r="F582" s="3" t="inlineStr">
        <is>
          <t>4-4</t>
        </is>
      </c>
    </row>
    <row r="583" ht="15.75" customHeight="1" s="9">
      <c r="A583" s="3" t="n">
        <v>3</v>
      </c>
      <c r="B583" s="3" t="inlineStr">
        <is>
          <t>照相机</t>
        </is>
      </c>
      <c r="C583" s="3" t="inlineStr">
        <is>
          <t>zhào xiàng jī</t>
        </is>
      </c>
      <c r="D583" s="4" t="inlineStr">
        <is>
          <t>camera</t>
        </is>
      </c>
      <c r="E583" s="3" t="inlineStr">
        <is>
          <t>照 zhào (ZH+AO) · 相 xiàng (X+IANG) · 机 jī (J+I)</t>
        </is>
      </c>
      <c r="F583" s="3" t="inlineStr">
        <is>
          <t>4-4-1</t>
        </is>
      </c>
    </row>
    <row r="584" ht="15.75" customHeight="1" s="9">
      <c r="A584" s="3" t="n">
        <v>3</v>
      </c>
      <c r="B584" s="3" t="inlineStr">
        <is>
          <t>只</t>
        </is>
      </c>
      <c r="C584" s="3" t="inlineStr">
        <is>
          <t>zhǐ</t>
        </is>
      </c>
      <c r="D584" s="4" t="inlineStr">
        <is>
          <t>only</t>
        </is>
      </c>
      <c r="E584" s="3" t="inlineStr">
        <is>
          <t>只 zhǐ (ZH+Ø (no final))</t>
        </is>
      </c>
      <c r="F584" s="3" t="inlineStr">
        <is>
          <t>3</t>
        </is>
      </c>
    </row>
    <row r="585" ht="15.75" customHeight="1" s="9">
      <c r="A585" s="3" t="n">
        <v>3</v>
      </c>
      <c r="B585" s="3" t="inlineStr">
        <is>
          <t>只</t>
        </is>
      </c>
      <c r="C585" s="3" t="inlineStr">
        <is>
          <t>zhǐ</t>
        </is>
      </c>
      <c r="D585" s="4" t="inlineStr">
        <is>
          <t>measure word for animals/one of a pair</t>
        </is>
      </c>
      <c r="E585" s="3" t="inlineStr">
        <is>
          <t>只 zhǐ (ZH+Ø (no final))</t>
        </is>
      </c>
      <c r="F585" s="3" t="inlineStr">
        <is>
          <t>3</t>
        </is>
      </c>
    </row>
    <row r="586" ht="15.75" customHeight="1" s="9">
      <c r="A586" s="3" t="n">
        <v>3</v>
      </c>
      <c r="B586" s="3" t="inlineStr">
        <is>
          <t>只有…才…</t>
        </is>
      </c>
      <c r="C586" s="3" t="inlineStr">
        <is>
          <t>zhǐ yǒu …cái …</t>
        </is>
      </c>
      <c r="D586" s="4" t="inlineStr">
        <is>
          <t>only if…then</t>
        </is>
      </c>
      <c r="E586" s="3" t="inlineStr">
        <is>
          <t>只 zhǐ (ZH+Ø (no final)) · 有 yǒu (Y+OU) · 才 cái (C+AI)</t>
        </is>
      </c>
      <c r="F586" s="3" t="inlineStr">
        <is>
          <t>3-3-2</t>
        </is>
      </c>
    </row>
    <row r="587" ht="15.75" customHeight="1" s="9">
      <c r="A587" s="3" t="n">
        <v>3</v>
      </c>
      <c r="B587" s="3" t="inlineStr">
        <is>
          <t>中间</t>
        </is>
      </c>
      <c r="C587" s="3" t="inlineStr">
        <is>
          <t>zhōng jiān</t>
        </is>
      </c>
      <c r="D587" s="4" t="inlineStr">
        <is>
          <t>middle</t>
        </is>
      </c>
      <c r="E587" s="3" t="inlineStr">
        <is>
          <t>中 zhōng (ZH+ONG) · 间 jiān (J+IAN)</t>
        </is>
      </c>
      <c r="F587" s="3" t="inlineStr">
        <is>
          <t>1-1</t>
        </is>
      </c>
    </row>
    <row r="588" ht="15.75" customHeight="1" s="9">
      <c r="A588" s="3" t="n">
        <v>3</v>
      </c>
      <c r="B588" s="3" t="inlineStr">
        <is>
          <t>中文</t>
        </is>
      </c>
      <c r="C588" s="3" t="inlineStr">
        <is>
          <t>zhōng wén</t>
        </is>
      </c>
      <c r="D588" s="4" t="inlineStr">
        <is>
          <t>Chinese language</t>
        </is>
      </c>
      <c r="E588" s="3" t="inlineStr">
        <is>
          <t>中 zhōng (ZH+ONG) · 文 wén (W+(E)N)</t>
        </is>
      </c>
      <c r="F588" s="3" t="inlineStr">
        <is>
          <t>1-2</t>
        </is>
      </c>
    </row>
    <row r="589" ht="15.75" customHeight="1" s="9">
      <c r="A589" s="3" t="n">
        <v>3</v>
      </c>
      <c r="B589" s="3" t="inlineStr">
        <is>
          <t>终于</t>
        </is>
      </c>
      <c r="C589" s="3" t="inlineStr">
        <is>
          <t>zhōng yú</t>
        </is>
      </c>
      <c r="D589" s="4" t="inlineStr">
        <is>
          <t>finally</t>
        </is>
      </c>
      <c r="E589" s="3" t="inlineStr">
        <is>
          <t>终 zhōng (ZH+ONG) · 于 yú (Y+U)</t>
        </is>
      </c>
      <c r="F589" s="3" t="inlineStr">
        <is>
          <t>1-2</t>
        </is>
      </c>
    </row>
    <row r="590" ht="15.75" customHeight="1" s="9">
      <c r="A590" s="3" t="n">
        <v>3</v>
      </c>
      <c r="B590" s="3" t="inlineStr">
        <is>
          <t>种</t>
        </is>
      </c>
      <c r="C590" s="3" t="inlineStr">
        <is>
          <t>zhǒng</t>
        </is>
      </c>
      <c r="D590" s="4" t="inlineStr">
        <is>
          <t>kind; type</t>
        </is>
      </c>
      <c r="E590" s="3" t="inlineStr">
        <is>
          <t>种 zhǒng (ZH+ONG)</t>
        </is>
      </c>
      <c r="F590" s="3" t="inlineStr">
        <is>
          <t>3</t>
        </is>
      </c>
    </row>
    <row r="591" ht="15.75" customHeight="1" s="9">
      <c r="A591" s="3" t="n">
        <v>3</v>
      </c>
      <c r="B591" s="3" t="inlineStr">
        <is>
          <t>重要</t>
        </is>
      </c>
      <c r="C591" s="3" t="inlineStr">
        <is>
          <t>zhòng yào</t>
        </is>
      </c>
      <c r="D591" s="4" t="inlineStr">
        <is>
          <t>important</t>
        </is>
      </c>
      <c r="E591" s="3" t="inlineStr">
        <is>
          <t>重 zhòng (ZH+ONG) · 要 yào (Y+AO)</t>
        </is>
      </c>
      <c r="F591" s="3" t="inlineStr">
        <is>
          <t>4-4</t>
        </is>
      </c>
    </row>
    <row r="592" ht="15.75" customHeight="1" s="9">
      <c r="A592" s="3" t="n">
        <v>3</v>
      </c>
      <c r="B592" s="3" t="inlineStr">
        <is>
          <t>周末</t>
        </is>
      </c>
      <c r="C592" s="3" t="inlineStr">
        <is>
          <t>zhōu mò</t>
        </is>
      </c>
      <c r="D592" s="4" t="inlineStr">
        <is>
          <t>weekend</t>
        </is>
      </c>
      <c r="E592" s="3" t="inlineStr">
        <is>
          <t>周 zhōu (ZH+OU) · 末 mò (M+O)</t>
        </is>
      </c>
      <c r="F592" s="3" t="inlineStr">
        <is>
          <t>1-4</t>
        </is>
      </c>
    </row>
    <row r="593" ht="15.75" customHeight="1" s="9">
      <c r="A593" s="3" t="n">
        <v>3</v>
      </c>
      <c r="B593" s="3" t="inlineStr">
        <is>
          <t>主要</t>
        </is>
      </c>
      <c r="C593" s="3" t="inlineStr">
        <is>
          <t>zhǔ yào</t>
        </is>
      </c>
      <c r="D593" s="4" t="inlineStr">
        <is>
          <t>main</t>
        </is>
      </c>
      <c r="E593" s="3" t="inlineStr">
        <is>
          <t>主 zhǔ (ZH+U) · 要 yào (Y+AO)</t>
        </is>
      </c>
      <c r="F593" s="3" t="inlineStr">
        <is>
          <t>3-4</t>
        </is>
      </c>
    </row>
    <row r="594" ht="15.75" customHeight="1" s="9">
      <c r="A594" s="3" t="n">
        <v>3</v>
      </c>
      <c r="B594" s="3" t="inlineStr">
        <is>
          <t>注意</t>
        </is>
      </c>
      <c r="C594" s="3" t="inlineStr">
        <is>
          <t>zhù yì</t>
        </is>
      </c>
      <c r="D594" s="4" t="inlineStr">
        <is>
          <t>pay attention</t>
        </is>
      </c>
      <c r="E594" s="3" t="inlineStr">
        <is>
          <t>注 zhù (ZH+U) · 意 yì (Y+I)</t>
        </is>
      </c>
      <c r="F594" s="3" t="inlineStr">
        <is>
          <t>4-4</t>
        </is>
      </c>
    </row>
    <row r="595" ht="15.75" customHeight="1" s="9">
      <c r="A595" s="3" t="n">
        <v>3</v>
      </c>
      <c r="B595" s="3" t="inlineStr">
        <is>
          <t>自己</t>
        </is>
      </c>
      <c r="C595" s="3" t="inlineStr">
        <is>
          <t>zì jǐ</t>
        </is>
      </c>
      <c r="D595" s="4" t="inlineStr">
        <is>
          <t>self</t>
        </is>
      </c>
      <c r="E595" s="3" t="inlineStr">
        <is>
          <t>自 zì (Z+Ø (no final)) · 己 jǐ (J+I)</t>
        </is>
      </c>
      <c r="F595" s="3" t="inlineStr">
        <is>
          <t>4-3</t>
        </is>
      </c>
    </row>
    <row r="596" ht="15.75" customHeight="1" s="9">
      <c r="A596" s="3" t="n">
        <v>3</v>
      </c>
      <c r="B596" s="3" t="inlineStr">
        <is>
          <t>自行车</t>
        </is>
      </c>
      <c r="C596" s="3" t="inlineStr">
        <is>
          <t>zì xíng chē</t>
        </is>
      </c>
      <c r="D596" s="4" t="inlineStr">
        <is>
          <t>bicycle</t>
        </is>
      </c>
      <c r="E596" s="3" t="inlineStr">
        <is>
          <t>自 zì (Z+Ø (no final)) · 行 xíng (X+ING) · 车 chē (CH+E)</t>
        </is>
      </c>
      <c r="F596" s="3" t="inlineStr">
        <is>
          <t>4-2-1</t>
        </is>
      </c>
    </row>
    <row r="597" ht="15.75" customHeight="1" s="9">
      <c r="A597" s="3" t="n">
        <v>3</v>
      </c>
      <c r="B597" s="3" t="inlineStr">
        <is>
          <t>总是</t>
        </is>
      </c>
      <c r="C597" s="3" t="inlineStr">
        <is>
          <t>zǒng shì</t>
        </is>
      </c>
      <c r="D597" s="4" t="inlineStr">
        <is>
          <t>always</t>
        </is>
      </c>
      <c r="E597" s="3" t="inlineStr">
        <is>
          <t>总 zǒng (Z+ONG) · 是 shì (SH+Ø (no final))</t>
        </is>
      </c>
      <c r="F597" s="3" t="inlineStr">
        <is>
          <t>3-4</t>
        </is>
      </c>
    </row>
    <row r="598" ht="15.75" customHeight="1" s="9">
      <c r="A598" s="3" t="n">
        <v>3</v>
      </c>
      <c r="B598" s="3" t="inlineStr">
        <is>
          <t>嘴</t>
        </is>
      </c>
      <c r="C598" s="3" t="inlineStr">
        <is>
          <t>zuǐ</t>
        </is>
      </c>
      <c r="D598" s="4" t="inlineStr">
        <is>
          <t>mouth</t>
        </is>
      </c>
      <c r="E598" s="3" t="inlineStr">
        <is>
          <t>嘴 zuǐ (Z+UI)</t>
        </is>
      </c>
      <c r="F598" s="3" t="inlineStr">
        <is>
          <t>3</t>
        </is>
      </c>
    </row>
    <row r="599" ht="15.75" customHeight="1" s="9">
      <c r="A599" s="3" t="n">
        <v>3</v>
      </c>
      <c r="B599" s="3" t="inlineStr">
        <is>
          <t>最后</t>
        </is>
      </c>
      <c r="C599" s="3" t="inlineStr">
        <is>
          <t>zuì hòu</t>
        </is>
      </c>
      <c r="D599" s="4" t="inlineStr">
        <is>
          <t>last; finally</t>
        </is>
      </c>
      <c r="E599" s="3" t="inlineStr">
        <is>
          <t>最 zuì (Z+UI) · 后 hòu (H+OU)</t>
        </is>
      </c>
      <c r="F599" s="3" t="inlineStr">
        <is>
          <t>4-4</t>
        </is>
      </c>
    </row>
    <row r="600" ht="15.75" customHeight="1" s="9">
      <c r="A600" s="3" t="n">
        <v>3</v>
      </c>
      <c r="B600" s="3" t="inlineStr">
        <is>
          <t>最近</t>
        </is>
      </c>
      <c r="C600" s="3" t="inlineStr">
        <is>
          <t>zuì jìn</t>
        </is>
      </c>
      <c r="D600" s="4" t="inlineStr">
        <is>
          <t>recently</t>
        </is>
      </c>
      <c r="E600" s="3" t="inlineStr">
        <is>
          <t>最 zuì (Z+UI) · 近 jìn (J+IN)</t>
        </is>
      </c>
      <c r="F600" s="3" t="inlineStr">
        <is>
          <t>4-4</t>
        </is>
      </c>
    </row>
    <row r="601" ht="15.75" customHeight="1" s="9">
      <c r="A601" s="3" t="n">
        <v>3</v>
      </c>
      <c r="B601" s="3" t="inlineStr">
        <is>
          <t>作业</t>
        </is>
      </c>
      <c r="C601" s="3" t="inlineStr">
        <is>
          <t>zuò yè</t>
        </is>
      </c>
      <c r="D601" s="4" t="inlineStr">
        <is>
          <t>homework</t>
        </is>
      </c>
      <c r="E601" s="3" t="inlineStr">
        <is>
          <t>作 zuò (Z+UO) · 业 yè (Y+E)</t>
        </is>
      </c>
      <c r="F601" s="3" t="inlineStr">
        <is>
          <t>4-4</t>
        </is>
      </c>
    </row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" customWidth="1" style="9" min="1" max="1"/>
    <col width="16" customWidth="1" style="9" min="2" max="2"/>
    <col width="10" customWidth="1" style="9" min="3" max="3"/>
    <col width="7" customWidth="1" style="9" min="4" max="4"/>
    <col width="9" customWidth="1" style="9" min="5" max="26"/>
    <col width="26" customWidth="1" style="9" min="6" max="6"/>
    <col width="24" customWidth="1" style="9" min="7" max="7"/>
    <col width="28" customWidth="1" style="9" min="8" max="8"/>
    <col width="34" customWidth="1" style="9" min="9" max="9"/>
    <col width="22" customWidth="1" style="9" min="10" max="10"/>
    <col width="20" customWidth="1" style="9" min="11" max="11"/>
    <col width="40" customWidth="1" style="9" min="12" max="12"/>
    <col width="70" customWidth="1" style="9" min="14" max="14"/>
  </cols>
  <sheetData>
    <row r="1" ht="27" customHeight="1" s="9">
      <c r="A1" s="11" t="inlineStr">
        <is>
          <t>Hanzi</t>
        </is>
      </c>
      <c r="B1" s="11" t="inlineStr">
        <is>
          <t>First HSK level</t>
        </is>
      </c>
      <c r="C1" s="10" t="inlineStr">
        <is>
          <t>Pinyin</t>
        </is>
      </c>
      <c r="D1" s="10" t="inlineStr">
        <is>
          <t>Tone</t>
        </is>
      </c>
      <c r="E1" s="10" t="inlineStr">
        <is>
          <t>Initial</t>
        </is>
      </c>
      <c r="F1" s="10" t="inlineStr">
        <is>
          <t>Final</t>
        </is>
      </c>
      <c r="G1" s="10" t="inlineStr">
        <is>
          <t>Actor</t>
        </is>
      </c>
      <c r="H1" s="10" t="inlineStr">
        <is>
          <t>Location</t>
        </is>
      </c>
      <c r="I1" s="10" t="inlineStr">
        <is>
          <t>Tone area</t>
        </is>
      </c>
      <c r="J1" s="10" t="inlineStr">
        <is>
          <t>HMM status</t>
        </is>
      </c>
      <c r="K1" s="10" t="inlineStr">
        <is>
          <t>Other readings in list</t>
        </is>
      </c>
      <c r="L1" s="10" t="inlineStr">
        <is>
          <t>Appears in</t>
        </is>
      </c>
      <c r="N1" s="12" t="inlineStr">
        <is>
          <t>617 unique characters</t>
        </is>
      </c>
    </row>
    <row r="2">
      <c r="A2" s="7" t="inlineStr">
        <is>
          <t>爱</t>
        </is>
      </c>
      <c r="B2" s="7" t="n">
        <v>1</v>
      </c>
      <c r="C2" s="3" t="inlineStr">
        <is>
          <t>ài</t>
        </is>
      </c>
      <c r="D2" s="3" t="n">
        <v>4</v>
      </c>
      <c r="E2" s="3" t="inlineStr">
        <is>
          <t>Ø</t>
        </is>
      </c>
      <c r="F2" s="3" t="inlineStr">
        <is>
          <t>AI</t>
        </is>
      </c>
      <c r="G2" s="3">
        <f>IFERROR(IF(INDEX('HMM Actors'!$B:$B,MATCH(E2,'HMM Actors'!$A:$A,0))="","(not assigned)",INDEX('HMM Actors'!$B:$B,MATCH(E2,'HMM Actors'!$A:$A,0))),"(not assigned)")</f>
        <v/>
      </c>
      <c r="H2" s="3">
        <f>IFERROR(IF(INDEX('HMM Locations'!$B:$B,MATCH(F2,'HMM Locations'!$A:$A,0))="","(not assigned)",INDEX('HMM Locations'!$B:$B,MATCH(F2,'HMM Locations'!$A:$A,0))),"(not assigned)")</f>
        <v/>
      </c>
      <c r="I2" s="3">
        <f>IFERROR(IF(INDEX('HMM Locations'!$C:$G,MATCH(F2,'HMM Locations'!$A:$A,0),D2)="","(not assigned)",INDEX('HMM Locations'!$C:$G,MATCH(F2,'HMM Locations'!$A:$A,0),D2)),"(not assigned)")</f>
        <v/>
      </c>
      <c r="J2" s="3">
        <f>IF(COUNTIF(G2:I2,"(not assigned)")=0,"Ready","Needs grid entry")</f>
        <v/>
      </c>
      <c r="K2" s="3" t="inlineStr"/>
      <c r="L2" s="3" t="inlineStr">
        <is>
          <t>爱、爱好、可爱</t>
        </is>
      </c>
      <c r="N2" s="13" t="inlineStr">
        <is>
          <t>Distinct simplified Hanzi appearing in the 600 entries; punctuation excluded.</t>
        </is>
      </c>
    </row>
    <row r="3">
      <c r="A3" s="7" t="inlineStr">
        <is>
          <t>八</t>
        </is>
      </c>
      <c r="B3" s="7" t="n">
        <v>1</v>
      </c>
      <c r="C3" s="3" t="inlineStr">
        <is>
          <t>bā</t>
        </is>
      </c>
      <c r="D3" s="3" t="n">
        <v>1</v>
      </c>
      <c r="E3" s="3" t="inlineStr">
        <is>
          <t>B</t>
        </is>
      </c>
      <c r="F3" s="3" t="inlineStr">
        <is>
          <t>A</t>
        </is>
      </c>
      <c r="G3" s="3">
        <f>IFERROR(IF(INDEX('HMM Actors'!$B:$B,MATCH(E3,'HMM Actors'!$A:$A,0))="","(not assigned)",INDEX('HMM Actors'!$B:$B,MATCH(E3,'HMM Actors'!$A:$A,0))),"(not assigned)")</f>
        <v/>
      </c>
      <c r="H3" s="3">
        <f>IFERROR(IF(INDEX('HMM Locations'!$B:$B,MATCH(F3,'HMM Locations'!$A:$A,0))="","(not assigned)",INDEX('HMM Locations'!$B:$B,MATCH(F3,'HMM Locations'!$A:$A,0))),"(not assigned)")</f>
        <v/>
      </c>
      <c r="I3" s="3">
        <f>IFERROR(IF(INDEX('HMM Locations'!$C:$G,MATCH(F3,'HMM Locations'!$A:$A,0),D3)="","(not assigned)",INDEX('HMM Locations'!$C:$G,MATCH(F3,'HMM Locations'!$A:$A,0),D3)),"(not assigned)")</f>
        <v/>
      </c>
      <c r="J3" s="3">
        <f>IF(COUNTIF(G3:I3,"(not assigned)")=0,"Ready","Needs grid entry")</f>
        <v/>
      </c>
      <c r="K3" s="3" t="inlineStr"/>
      <c r="L3" s="3" t="inlineStr">
        <is>
          <t>八</t>
        </is>
      </c>
      <c r="N3" s="13" t="inlineStr">
        <is>
          <t>Pinyin is each character's main reading, taken from the words in the Vocabulary sheet (一 and 不 use their citation tones). Tone 5 = neutral. Initial/Final follow the HMM grid's spelling rules: y- and w- count as initials, and zhi/chi/shi/ri/zi/ci/si use the Ø final.</t>
        </is>
      </c>
    </row>
    <row r="4">
      <c r="A4" s="7" t="inlineStr">
        <is>
          <t>爸</t>
        </is>
      </c>
      <c r="B4" s="7" t="n">
        <v>1</v>
      </c>
      <c r="C4" s="3" t="inlineStr">
        <is>
          <t>bà</t>
        </is>
      </c>
      <c r="D4" s="3" t="n">
        <v>4</v>
      </c>
      <c r="E4" s="3" t="inlineStr">
        <is>
          <t>B</t>
        </is>
      </c>
      <c r="F4" s="3" t="inlineStr">
        <is>
          <t>A</t>
        </is>
      </c>
      <c r="G4" s="3">
        <f>IFERROR(IF(INDEX('HMM Actors'!$B:$B,MATCH(E4,'HMM Actors'!$A:$A,0))="","(not assigned)",INDEX('HMM Actors'!$B:$B,MATCH(E4,'HMM Actors'!$A:$A,0))),"(not assigned)")</f>
        <v/>
      </c>
      <c r="H4" s="3">
        <f>IFERROR(IF(INDEX('HMM Locations'!$B:$B,MATCH(F4,'HMM Locations'!$A:$A,0))="","(not assigned)",INDEX('HMM Locations'!$B:$B,MATCH(F4,'HMM Locations'!$A:$A,0))),"(not assigned)")</f>
        <v/>
      </c>
      <c r="I4" s="3">
        <f>IFERROR(IF(INDEX('HMM Locations'!$C:$G,MATCH(F4,'HMM Locations'!$A:$A,0),D4)="","(not assigned)",INDEX('HMM Locations'!$C:$G,MATCH(F4,'HMM Locations'!$A:$A,0),D4)),"(not assigned)")</f>
        <v/>
      </c>
      <c r="J4" s="3">
        <f>IF(COUNTIF(G4:I4,"(not assigned)")=0,"Ready","Needs grid entry")</f>
        <v/>
      </c>
      <c r="K4" s="3" t="inlineStr"/>
      <c r="L4" s="3" t="inlineStr">
        <is>
          <t>爸爸</t>
        </is>
      </c>
      <c r="N4" s="13" t="inlineStr">
        <is>
          <t>Actor, Location and Tone area are formulas that read the HMM Actors and HMM Locations sheets.</t>
        </is>
      </c>
    </row>
    <row r="5">
      <c r="A5" s="7" t="inlineStr">
        <is>
          <t>杯</t>
        </is>
      </c>
      <c r="B5" s="7" t="n">
        <v>1</v>
      </c>
      <c r="C5" s="3" t="inlineStr">
        <is>
          <t>bēi</t>
        </is>
      </c>
      <c r="D5" s="3" t="n">
        <v>1</v>
      </c>
      <c r="E5" s="3" t="inlineStr">
        <is>
          <t>B</t>
        </is>
      </c>
      <c r="F5" s="3" t="inlineStr">
        <is>
          <t>EI</t>
        </is>
      </c>
      <c r="G5" s="3">
        <f>IFERROR(IF(INDEX('HMM Actors'!$B:$B,MATCH(E5,'HMM Actors'!$A:$A,0))="","(not assigned)",INDEX('HMM Actors'!$B:$B,MATCH(E5,'HMM Actors'!$A:$A,0))),"(not assigned)")</f>
        <v/>
      </c>
      <c r="H5" s="3">
        <f>IFERROR(IF(INDEX('HMM Locations'!$B:$B,MATCH(F5,'HMM Locations'!$A:$A,0))="","(not assigned)",INDEX('HMM Locations'!$B:$B,MATCH(F5,'HMM Locations'!$A:$A,0))),"(not assigned)")</f>
        <v/>
      </c>
      <c r="I5" s="3">
        <f>IFERROR(IF(INDEX('HMM Locations'!$C:$G,MATCH(F5,'HMM Locations'!$A:$A,0),D5)="","(not assigned)",INDEX('HMM Locations'!$C:$G,MATCH(F5,'HMM Locations'!$A:$A,0),D5)),"(not assigned)")</f>
        <v/>
      </c>
      <c r="J5" s="3">
        <f>IF(COUNTIF(G5:I5,"(not assigned)")=0,"Ready","Needs grid entry")</f>
        <v/>
      </c>
      <c r="K5" s="3" t="inlineStr"/>
      <c r="L5" s="3" t="inlineStr">
        <is>
          <t>杯子</t>
        </is>
      </c>
    </row>
    <row r="6">
      <c r="A6" s="7" t="inlineStr">
        <is>
          <t>北</t>
        </is>
      </c>
      <c r="B6" s="7" t="n">
        <v>1</v>
      </c>
      <c r="C6" s="3" t="inlineStr">
        <is>
          <t>běi</t>
        </is>
      </c>
      <c r="D6" s="3" t="n">
        <v>3</v>
      </c>
      <c r="E6" s="3" t="inlineStr">
        <is>
          <t>B</t>
        </is>
      </c>
      <c r="F6" s="3" t="inlineStr">
        <is>
          <t>EI</t>
        </is>
      </c>
      <c r="G6" s="3">
        <f>IFERROR(IF(INDEX('HMM Actors'!$B:$B,MATCH(E6,'HMM Actors'!$A:$A,0))="","(not assigned)",INDEX('HMM Actors'!$B:$B,MATCH(E6,'HMM Actors'!$A:$A,0))),"(not assigned)")</f>
        <v/>
      </c>
      <c r="H6" s="3">
        <f>IFERROR(IF(INDEX('HMM Locations'!$B:$B,MATCH(F6,'HMM Locations'!$A:$A,0))="","(not assigned)",INDEX('HMM Locations'!$B:$B,MATCH(F6,'HMM Locations'!$A:$A,0))),"(not assigned)")</f>
        <v/>
      </c>
      <c r="I6" s="3">
        <f>IFERROR(IF(INDEX('HMM Locations'!$C:$G,MATCH(F6,'HMM Locations'!$A:$A,0),D6)="","(not assigned)",INDEX('HMM Locations'!$C:$G,MATCH(F6,'HMM Locations'!$A:$A,0),D6)),"(not assigned)")</f>
        <v/>
      </c>
      <c r="J6" s="3">
        <f>IF(COUNTIF(G6:I6,"(not assigned)")=0,"Ready","Needs grid entry")</f>
        <v/>
      </c>
      <c r="K6" s="3" t="inlineStr"/>
      <c r="L6" s="3" t="inlineStr">
        <is>
          <t>北京、北方</t>
        </is>
      </c>
    </row>
    <row r="7">
      <c r="A7" s="7" t="inlineStr">
        <is>
          <t>本</t>
        </is>
      </c>
      <c r="B7" s="7" t="n">
        <v>1</v>
      </c>
      <c r="C7" s="3" t="inlineStr">
        <is>
          <t>běn</t>
        </is>
      </c>
      <c r="D7" s="3" t="n">
        <v>3</v>
      </c>
      <c r="E7" s="3" t="inlineStr">
        <is>
          <t>B</t>
        </is>
      </c>
      <c r="F7" s="3" t="inlineStr">
        <is>
          <t>(E)N</t>
        </is>
      </c>
      <c r="G7" s="3">
        <f>IFERROR(IF(INDEX('HMM Actors'!$B:$B,MATCH(E7,'HMM Actors'!$A:$A,0))="","(not assigned)",INDEX('HMM Actors'!$B:$B,MATCH(E7,'HMM Actors'!$A:$A,0))),"(not assigned)")</f>
        <v/>
      </c>
      <c r="H7" s="3">
        <f>IFERROR(IF(INDEX('HMM Locations'!$B:$B,MATCH(F7,'HMM Locations'!$A:$A,0))="","(not assigned)",INDEX('HMM Locations'!$B:$B,MATCH(F7,'HMM Locations'!$A:$A,0))),"(not assigned)")</f>
        <v/>
      </c>
      <c r="I7" s="3">
        <f>IFERROR(IF(INDEX('HMM Locations'!$C:$G,MATCH(F7,'HMM Locations'!$A:$A,0),D7)="","(not assigned)",INDEX('HMM Locations'!$C:$G,MATCH(F7,'HMM Locations'!$A:$A,0),D7)),"(not assigned)")</f>
        <v/>
      </c>
      <c r="J7" s="3">
        <f>IF(COUNTIF(G7:I7,"(not assigned)")=0,"Ready","Needs grid entry")</f>
        <v/>
      </c>
      <c r="K7" s="3" t="inlineStr"/>
      <c r="L7" s="3" t="inlineStr">
        <is>
          <t>本、笔记本</t>
        </is>
      </c>
    </row>
    <row r="8">
      <c r="A8" s="7" t="inlineStr">
        <is>
          <t>不</t>
        </is>
      </c>
      <c r="B8" s="7" t="n">
        <v>1</v>
      </c>
      <c r="C8" s="3" t="inlineStr">
        <is>
          <t>bù</t>
        </is>
      </c>
      <c r="D8" s="3" t="n">
        <v>4</v>
      </c>
      <c r="E8" s="3" t="inlineStr">
        <is>
          <t>B</t>
        </is>
      </c>
      <c r="F8" s="3" t="inlineStr">
        <is>
          <t>U</t>
        </is>
      </c>
      <c r="G8" s="3">
        <f>IFERROR(IF(INDEX('HMM Actors'!$B:$B,MATCH(E8,'HMM Actors'!$A:$A,0))="","(not assigned)",INDEX('HMM Actors'!$B:$B,MATCH(E8,'HMM Actors'!$A:$A,0))),"(not assigned)")</f>
        <v/>
      </c>
      <c r="H8" s="3">
        <f>IFERROR(IF(INDEX('HMM Locations'!$B:$B,MATCH(F8,'HMM Locations'!$A:$A,0))="","(not assigned)",INDEX('HMM Locations'!$B:$B,MATCH(F8,'HMM Locations'!$A:$A,0))),"(not assigned)")</f>
        <v/>
      </c>
      <c r="I8" s="3">
        <f>IFERROR(IF(INDEX('HMM Locations'!$C:$G,MATCH(F8,'HMM Locations'!$A:$A,0),D8)="","(not assigned)",INDEX('HMM Locations'!$C:$G,MATCH(F8,'HMM Locations'!$A:$A,0),D8)),"(not assigned)")</f>
        <v/>
      </c>
      <c r="J8" s="3">
        <f>IF(COUNTIF(G8:I8,"(not assigned)")=0,"Ready","Needs grid entry")</f>
        <v/>
      </c>
      <c r="K8" s="3" t="inlineStr">
        <is>
          <t>bú</t>
        </is>
      </c>
      <c r="L8" s="3" t="inlineStr">
        <is>
          <t>不客气、不、对不起、不但…而且…</t>
        </is>
      </c>
    </row>
    <row r="9">
      <c r="A9" s="7" t="inlineStr">
        <is>
          <t>菜</t>
        </is>
      </c>
      <c r="B9" s="7" t="n">
        <v>1</v>
      </c>
      <c r="C9" s="3" t="inlineStr">
        <is>
          <t>cài</t>
        </is>
      </c>
      <c r="D9" s="3" t="n">
        <v>4</v>
      </c>
      <c r="E9" s="3" t="inlineStr">
        <is>
          <t>C</t>
        </is>
      </c>
      <c r="F9" s="3" t="inlineStr">
        <is>
          <t>AI</t>
        </is>
      </c>
      <c r="G9" s="3">
        <f>IFERROR(IF(INDEX('HMM Actors'!$B:$B,MATCH(E9,'HMM Actors'!$A:$A,0))="","(not assigned)",INDEX('HMM Actors'!$B:$B,MATCH(E9,'HMM Actors'!$A:$A,0))),"(not assigned)")</f>
        <v/>
      </c>
      <c r="H9" s="3">
        <f>IFERROR(IF(INDEX('HMM Locations'!$B:$B,MATCH(F9,'HMM Locations'!$A:$A,0))="","(not assigned)",INDEX('HMM Locations'!$B:$B,MATCH(F9,'HMM Locations'!$A:$A,0))),"(not assigned)")</f>
        <v/>
      </c>
      <c r="I9" s="3">
        <f>IFERROR(IF(INDEX('HMM Locations'!$C:$G,MATCH(F9,'HMM Locations'!$A:$A,0),D9)="","(not assigned)",INDEX('HMM Locations'!$C:$G,MATCH(F9,'HMM Locations'!$A:$A,0),D9)),"(not assigned)")</f>
        <v/>
      </c>
      <c r="J9" s="3">
        <f>IF(COUNTIF(G9:I9,"(not assigned)")=0,"Ready","Needs grid entry")</f>
        <v/>
      </c>
      <c r="K9" s="3" t="inlineStr"/>
      <c r="L9" s="3" t="inlineStr">
        <is>
          <t>菜、菜单</t>
        </is>
      </c>
    </row>
    <row r="10">
      <c r="A10" s="7" t="inlineStr">
        <is>
          <t>茶</t>
        </is>
      </c>
      <c r="B10" s="7" t="n">
        <v>1</v>
      </c>
      <c r="C10" s="3" t="inlineStr">
        <is>
          <t>chá</t>
        </is>
      </c>
      <c r="D10" s="3" t="n">
        <v>2</v>
      </c>
      <c r="E10" s="3" t="inlineStr">
        <is>
          <t>CH</t>
        </is>
      </c>
      <c r="F10" s="3" t="inlineStr">
        <is>
          <t>A</t>
        </is>
      </c>
      <c r="G10" s="3">
        <f>IFERROR(IF(INDEX('HMM Actors'!$B:$B,MATCH(E10,'HMM Actors'!$A:$A,0))="","(not assigned)",INDEX('HMM Actors'!$B:$B,MATCH(E10,'HMM Actors'!$A:$A,0))),"(not assigned)")</f>
        <v/>
      </c>
      <c r="H10" s="3">
        <f>IFERROR(IF(INDEX('HMM Locations'!$B:$B,MATCH(F10,'HMM Locations'!$A:$A,0))="","(not assigned)",INDEX('HMM Locations'!$B:$B,MATCH(F10,'HMM Locations'!$A:$A,0))),"(not assigned)")</f>
        <v/>
      </c>
      <c r="I10" s="3">
        <f>IFERROR(IF(INDEX('HMM Locations'!$C:$G,MATCH(F10,'HMM Locations'!$A:$A,0),D10)="","(not assigned)",INDEX('HMM Locations'!$C:$G,MATCH(F10,'HMM Locations'!$A:$A,0),D10)),"(not assigned)")</f>
        <v/>
      </c>
      <c r="J10" s="3">
        <f>IF(COUNTIF(G10:I10,"(not assigned)")=0,"Ready","Needs grid entry")</f>
        <v/>
      </c>
      <c r="K10" s="3" t="inlineStr"/>
      <c r="L10" s="3" t="inlineStr">
        <is>
          <t>茶</t>
        </is>
      </c>
    </row>
    <row r="11">
      <c r="A11" s="7" t="inlineStr">
        <is>
          <t>车</t>
        </is>
      </c>
      <c r="B11" s="7" t="n">
        <v>1</v>
      </c>
      <c r="C11" s="3" t="inlineStr">
        <is>
          <t>chē</t>
        </is>
      </c>
      <c r="D11" s="3" t="n">
        <v>1</v>
      </c>
      <c r="E11" s="3" t="inlineStr">
        <is>
          <t>CH</t>
        </is>
      </c>
      <c r="F11" s="3" t="inlineStr">
        <is>
          <t>E</t>
        </is>
      </c>
      <c r="G11" s="3">
        <f>IFERROR(IF(INDEX('HMM Actors'!$B:$B,MATCH(E11,'HMM Actors'!$A:$A,0))="","(not assigned)",INDEX('HMM Actors'!$B:$B,MATCH(E11,'HMM Actors'!$A:$A,0))),"(not assigned)")</f>
        <v/>
      </c>
      <c r="H11" s="3">
        <f>IFERROR(IF(INDEX('HMM Locations'!$B:$B,MATCH(F11,'HMM Locations'!$A:$A,0))="","(not assigned)",INDEX('HMM Locations'!$B:$B,MATCH(F11,'HMM Locations'!$A:$A,0))),"(not assigned)")</f>
        <v/>
      </c>
      <c r="I11" s="3">
        <f>IFERROR(IF(INDEX('HMM Locations'!$C:$G,MATCH(F11,'HMM Locations'!$A:$A,0),D11)="","(not assigned)",INDEX('HMM Locations'!$C:$G,MATCH(F11,'HMM Locations'!$A:$A,0),D11)),"(not assigned)")</f>
        <v/>
      </c>
      <c r="J11" s="3">
        <f>IF(COUNTIF(G11:I11,"(not assigned)")=0,"Ready","Needs grid entry")</f>
        <v/>
      </c>
      <c r="K11" s="3" t="inlineStr"/>
      <c r="L11" s="3" t="inlineStr">
        <is>
          <t>出租车、公共汽车、火车站、自行车</t>
        </is>
      </c>
    </row>
    <row r="12">
      <c r="A12" s="7" t="inlineStr">
        <is>
          <t>吃</t>
        </is>
      </c>
      <c r="B12" s="7" t="n">
        <v>1</v>
      </c>
      <c r="C12" s="3" t="inlineStr">
        <is>
          <t>chī</t>
        </is>
      </c>
      <c r="D12" s="3" t="n">
        <v>1</v>
      </c>
      <c r="E12" s="3" t="inlineStr">
        <is>
          <t>CH</t>
        </is>
      </c>
      <c r="F12" s="3" t="inlineStr">
        <is>
          <t>Ø (no final)</t>
        </is>
      </c>
      <c r="G12" s="3">
        <f>IFERROR(IF(INDEX('HMM Actors'!$B:$B,MATCH(E12,'HMM Actors'!$A:$A,0))="","(not assigned)",INDEX('HMM Actors'!$B:$B,MATCH(E12,'HMM Actors'!$A:$A,0))),"(not assigned)")</f>
        <v/>
      </c>
      <c r="H12" s="3">
        <f>IFERROR(IF(INDEX('HMM Locations'!$B:$B,MATCH(F12,'HMM Locations'!$A:$A,0))="","(not assigned)",INDEX('HMM Locations'!$B:$B,MATCH(F12,'HMM Locations'!$A:$A,0))),"(not assigned)")</f>
        <v/>
      </c>
      <c r="I12" s="3">
        <f>IFERROR(IF(INDEX('HMM Locations'!$C:$G,MATCH(F12,'HMM Locations'!$A:$A,0),D12)="","(not assigned)",INDEX('HMM Locations'!$C:$G,MATCH(F12,'HMM Locations'!$A:$A,0),D12)),"(not assigned)")</f>
        <v/>
      </c>
      <c r="J12" s="3">
        <f>IF(COUNTIF(G12:I12,"(not assigned)")=0,"Ready","Needs grid entry")</f>
        <v/>
      </c>
      <c r="K12" s="3" t="inlineStr"/>
      <c r="L12" s="3" t="inlineStr">
        <is>
          <t>吃、好吃</t>
        </is>
      </c>
    </row>
    <row r="13">
      <c r="A13" s="7" t="inlineStr">
        <is>
          <t>出</t>
        </is>
      </c>
      <c r="B13" s="7" t="n">
        <v>1</v>
      </c>
      <c r="C13" s="3" t="inlineStr">
        <is>
          <t>chū</t>
        </is>
      </c>
      <c r="D13" s="3" t="n">
        <v>1</v>
      </c>
      <c r="E13" s="3" t="inlineStr">
        <is>
          <t>CH</t>
        </is>
      </c>
      <c r="F13" s="3" t="inlineStr">
        <is>
          <t>U</t>
        </is>
      </c>
      <c r="G13" s="3">
        <f>IFERROR(IF(INDEX('HMM Actors'!$B:$B,MATCH(E13,'HMM Actors'!$A:$A,0))="","(not assigned)",INDEX('HMM Actors'!$B:$B,MATCH(E13,'HMM Actors'!$A:$A,0))),"(not assigned)")</f>
        <v/>
      </c>
      <c r="H13" s="3">
        <f>IFERROR(IF(INDEX('HMM Locations'!$B:$B,MATCH(F13,'HMM Locations'!$A:$A,0))="","(not assigned)",INDEX('HMM Locations'!$B:$B,MATCH(F13,'HMM Locations'!$A:$A,0))),"(not assigned)")</f>
        <v/>
      </c>
      <c r="I13" s="3">
        <f>IFERROR(IF(INDEX('HMM Locations'!$C:$G,MATCH(F13,'HMM Locations'!$A:$A,0),D13)="","(not assigned)",INDEX('HMM Locations'!$C:$G,MATCH(F13,'HMM Locations'!$A:$A,0),D13)),"(not assigned)")</f>
        <v/>
      </c>
      <c r="J13" s="3">
        <f>IF(COUNTIF(G13:I13,"(not assigned)")=0,"Ready","Needs grid entry")</f>
        <v/>
      </c>
      <c r="K13" s="3" t="inlineStr"/>
      <c r="L13" s="3" t="inlineStr">
        <is>
          <t>出租车、出</t>
        </is>
      </c>
    </row>
    <row r="14">
      <c r="A14" s="7" t="inlineStr">
        <is>
          <t>打</t>
        </is>
      </c>
      <c r="B14" s="7" t="n">
        <v>1</v>
      </c>
      <c r="C14" s="3" t="inlineStr">
        <is>
          <t>dǎ</t>
        </is>
      </c>
      <c r="D14" s="3" t="n">
        <v>3</v>
      </c>
      <c r="E14" s="3" t="inlineStr">
        <is>
          <t>D</t>
        </is>
      </c>
      <c r="F14" s="3" t="inlineStr">
        <is>
          <t>A</t>
        </is>
      </c>
      <c r="G14" s="3">
        <f>IFERROR(IF(INDEX('HMM Actors'!$B:$B,MATCH(E14,'HMM Actors'!$A:$A,0))="","(not assigned)",INDEX('HMM Actors'!$B:$B,MATCH(E14,'HMM Actors'!$A:$A,0))),"(not assigned)")</f>
        <v/>
      </c>
      <c r="H14" s="3">
        <f>IFERROR(IF(INDEX('HMM Locations'!$B:$B,MATCH(F14,'HMM Locations'!$A:$A,0))="","(not assigned)",INDEX('HMM Locations'!$B:$B,MATCH(F14,'HMM Locations'!$A:$A,0))),"(not assigned)")</f>
        <v/>
      </c>
      <c r="I14" s="3">
        <f>IFERROR(IF(INDEX('HMM Locations'!$C:$G,MATCH(F14,'HMM Locations'!$A:$A,0),D14)="","(not assigned)",INDEX('HMM Locations'!$C:$G,MATCH(F14,'HMM Locations'!$A:$A,0),D14)),"(not assigned)")</f>
        <v/>
      </c>
      <c r="J14" s="3">
        <f>IF(COUNTIF(G14:I14,"(not assigned)")=0,"Ready","Needs grid entry")</f>
        <v/>
      </c>
      <c r="K14" s="3" t="inlineStr"/>
      <c r="L14" s="3" t="inlineStr">
        <is>
          <t>打电话、打篮球、打扫、打算</t>
        </is>
      </c>
    </row>
    <row r="15">
      <c r="A15" s="7" t="inlineStr">
        <is>
          <t>大</t>
        </is>
      </c>
      <c r="B15" s="7" t="n">
        <v>1</v>
      </c>
      <c r="C15" s="3" t="inlineStr">
        <is>
          <t>dà</t>
        </is>
      </c>
      <c r="D15" s="3" t="n">
        <v>4</v>
      </c>
      <c r="E15" s="3" t="inlineStr">
        <is>
          <t>D</t>
        </is>
      </c>
      <c r="F15" s="3" t="inlineStr">
        <is>
          <t>A</t>
        </is>
      </c>
      <c r="G15" s="3">
        <f>IFERROR(IF(INDEX('HMM Actors'!$B:$B,MATCH(E15,'HMM Actors'!$A:$A,0))="","(not assigned)",INDEX('HMM Actors'!$B:$B,MATCH(E15,'HMM Actors'!$A:$A,0))),"(not assigned)")</f>
        <v/>
      </c>
      <c r="H15" s="3">
        <f>IFERROR(IF(INDEX('HMM Locations'!$B:$B,MATCH(F15,'HMM Locations'!$A:$A,0))="","(not assigned)",INDEX('HMM Locations'!$B:$B,MATCH(F15,'HMM Locations'!$A:$A,0))),"(not assigned)")</f>
        <v/>
      </c>
      <c r="I15" s="3">
        <f>IFERROR(IF(INDEX('HMM Locations'!$C:$G,MATCH(F15,'HMM Locations'!$A:$A,0),D15)="","(not assigned)",INDEX('HMM Locations'!$C:$G,MATCH(F15,'HMM Locations'!$A:$A,0),D15)),"(not assigned)")</f>
        <v/>
      </c>
      <c r="J15" s="3">
        <f>IF(COUNTIF(G15:I15,"(not assigned)")=0,"Ready","Needs grid entry")</f>
        <v/>
      </c>
      <c r="K15" s="3" t="inlineStr"/>
      <c r="L15" s="3" t="inlineStr">
        <is>
          <t>大、大家</t>
        </is>
      </c>
    </row>
    <row r="16">
      <c r="A16" s="7" t="inlineStr">
        <is>
          <t>的</t>
        </is>
      </c>
      <c r="B16" s="7" t="n">
        <v>1</v>
      </c>
      <c r="C16" s="3" t="inlineStr">
        <is>
          <t>de</t>
        </is>
      </c>
      <c r="D16" s="3" t="n">
        <v>5</v>
      </c>
      <c r="E16" s="3" t="inlineStr">
        <is>
          <t>D</t>
        </is>
      </c>
      <c r="F16" s="3" t="inlineStr">
        <is>
          <t>E</t>
        </is>
      </c>
      <c r="G16" s="3">
        <f>IFERROR(IF(INDEX('HMM Actors'!$B:$B,MATCH(E16,'HMM Actors'!$A:$A,0))="","(not assigned)",INDEX('HMM Actors'!$B:$B,MATCH(E16,'HMM Actors'!$A:$A,0))),"(not assigned)")</f>
        <v/>
      </c>
      <c r="H16" s="3">
        <f>IFERROR(IF(INDEX('HMM Locations'!$B:$B,MATCH(F16,'HMM Locations'!$A:$A,0))="","(not assigned)",INDEX('HMM Locations'!$B:$B,MATCH(F16,'HMM Locations'!$A:$A,0))),"(not assigned)")</f>
        <v/>
      </c>
      <c r="I16" s="3">
        <f>IFERROR(IF(INDEX('HMM Locations'!$C:$G,MATCH(F16,'HMM Locations'!$A:$A,0),D16)="","(not assigned)",INDEX('HMM Locations'!$C:$G,MATCH(F16,'HMM Locations'!$A:$A,0),D16)),"(not assigned)")</f>
        <v/>
      </c>
      <c r="J16" s="3">
        <f>IF(COUNTIF(G16:I16,"(not assigned)")=0,"Ready","Needs grid entry")</f>
        <v/>
      </c>
      <c r="K16" s="3" t="inlineStr"/>
      <c r="L16" s="3" t="inlineStr">
        <is>
          <t>的</t>
        </is>
      </c>
    </row>
    <row r="17">
      <c r="A17" s="7" t="inlineStr">
        <is>
          <t>点</t>
        </is>
      </c>
      <c r="B17" s="7" t="n">
        <v>1</v>
      </c>
      <c r="C17" s="3" t="inlineStr">
        <is>
          <t>diǎn</t>
        </is>
      </c>
      <c r="D17" s="3" t="n">
        <v>3</v>
      </c>
      <c r="E17" s="3" t="inlineStr">
        <is>
          <t>D</t>
        </is>
      </c>
      <c r="F17" s="3" t="inlineStr">
        <is>
          <t>IAN</t>
        </is>
      </c>
      <c r="G17" s="3">
        <f>IFERROR(IF(INDEX('HMM Actors'!$B:$B,MATCH(E17,'HMM Actors'!$A:$A,0))="","(not assigned)",INDEX('HMM Actors'!$B:$B,MATCH(E17,'HMM Actors'!$A:$A,0))),"(not assigned)")</f>
        <v/>
      </c>
      <c r="H17" s="3">
        <f>IFERROR(IF(INDEX('HMM Locations'!$B:$B,MATCH(F17,'HMM Locations'!$A:$A,0))="","(not assigned)",INDEX('HMM Locations'!$B:$B,MATCH(F17,'HMM Locations'!$A:$A,0))),"(not assigned)")</f>
        <v/>
      </c>
      <c r="I17" s="3">
        <f>IFERROR(IF(INDEX('HMM Locations'!$C:$G,MATCH(F17,'HMM Locations'!$A:$A,0),D17)="","(not assigned)",INDEX('HMM Locations'!$C:$G,MATCH(F17,'HMM Locations'!$A:$A,0),D17)),"(not assigned)")</f>
        <v/>
      </c>
      <c r="J17" s="3">
        <f>IF(COUNTIF(G17:I17,"(not assigned)")=0,"Ready","Needs grid entry")</f>
        <v/>
      </c>
      <c r="K17" s="3" t="inlineStr"/>
      <c r="L17" s="3" t="inlineStr">
        <is>
          <t>点、一点儿</t>
        </is>
      </c>
    </row>
    <row r="18">
      <c r="A18" s="7" t="inlineStr">
        <is>
          <t>电</t>
        </is>
      </c>
      <c r="B18" s="7" t="n">
        <v>1</v>
      </c>
      <c r="C18" s="3" t="inlineStr">
        <is>
          <t>diàn</t>
        </is>
      </c>
      <c r="D18" s="3" t="n">
        <v>4</v>
      </c>
      <c r="E18" s="3" t="inlineStr">
        <is>
          <t>D</t>
        </is>
      </c>
      <c r="F18" s="3" t="inlineStr">
        <is>
          <t>IAN</t>
        </is>
      </c>
      <c r="G18" s="3">
        <f>IFERROR(IF(INDEX('HMM Actors'!$B:$B,MATCH(E18,'HMM Actors'!$A:$A,0))="","(not assigned)",INDEX('HMM Actors'!$B:$B,MATCH(E18,'HMM Actors'!$A:$A,0))),"(not assigned)")</f>
        <v/>
      </c>
      <c r="H18" s="3">
        <f>IFERROR(IF(INDEX('HMM Locations'!$B:$B,MATCH(F18,'HMM Locations'!$A:$A,0))="","(not assigned)",INDEX('HMM Locations'!$B:$B,MATCH(F18,'HMM Locations'!$A:$A,0))),"(not assigned)")</f>
        <v/>
      </c>
      <c r="I18" s="3">
        <f>IFERROR(IF(INDEX('HMM Locations'!$C:$G,MATCH(F18,'HMM Locations'!$A:$A,0),D18)="","(not assigned)",INDEX('HMM Locations'!$C:$G,MATCH(F18,'HMM Locations'!$A:$A,0),D18)),"(not assigned)")</f>
        <v/>
      </c>
      <c r="J18" s="3">
        <f>IF(COUNTIF(G18:I18,"(not assigned)")=0,"Ready","Needs grid entry")</f>
        <v/>
      </c>
      <c r="K18" s="3" t="inlineStr"/>
      <c r="L18" s="3" t="inlineStr">
        <is>
          <t>打电话、电脑、电视、电影</t>
        </is>
      </c>
    </row>
    <row r="19">
      <c r="A19" s="7" t="inlineStr">
        <is>
          <t>店</t>
        </is>
      </c>
      <c r="B19" s="7" t="n">
        <v>1</v>
      </c>
      <c r="C19" s="3" t="inlineStr">
        <is>
          <t>diàn</t>
        </is>
      </c>
      <c r="D19" s="3" t="n">
        <v>4</v>
      </c>
      <c r="E19" s="3" t="inlineStr">
        <is>
          <t>D</t>
        </is>
      </c>
      <c r="F19" s="3" t="inlineStr">
        <is>
          <t>IAN</t>
        </is>
      </c>
      <c r="G19" s="3">
        <f>IFERROR(IF(INDEX('HMM Actors'!$B:$B,MATCH(E19,'HMM Actors'!$A:$A,0))="","(not assigned)",INDEX('HMM Actors'!$B:$B,MATCH(E19,'HMM Actors'!$A:$A,0))),"(not assigned)")</f>
        <v/>
      </c>
      <c r="H19" s="3">
        <f>IFERROR(IF(INDEX('HMM Locations'!$B:$B,MATCH(F19,'HMM Locations'!$A:$A,0))="","(not assigned)",INDEX('HMM Locations'!$B:$B,MATCH(F19,'HMM Locations'!$A:$A,0))),"(not assigned)")</f>
        <v/>
      </c>
      <c r="I19" s="3">
        <f>IFERROR(IF(INDEX('HMM Locations'!$C:$G,MATCH(F19,'HMM Locations'!$A:$A,0),D19)="","(not assigned)",INDEX('HMM Locations'!$C:$G,MATCH(F19,'HMM Locations'!$A:$A,0),D19)),"(not assigned)")</f>
        <v/>
      </c>
      <c r="J19" s="3">
        <f>IF(COUNTIF(G19:I19,"(not assigned)")=0,"Ready","Needs grid entry")</f>
        <v/>
      </c>
      <c r="K19" s="3" t="inlineStr"/>
      <c r="L19" s="3" t="inlineStr">
        <is>
          <t>饭店、商店</t>
        </is>
      </c>
    </row>
    <row r="20">
      <c r="A20" s="7" t="inlineStr">
        <is>
          <t>东</t>
        </is>
      </c>
      <c r="B20" s="7" t="n">
        <v>1</v>
      </c>
      <c r="C20" s="3" t="inlineStr">
        <is>
          <t>dōng</t>
        </is>
      </c>
      <c r="D20" s="3" t="n">
        <v>1</v>
      </c>
      <c r="E20" s="3" t="inlineStr">
        <is>
          <t>D</t>
        </is>
      </c>
      <c r="F20" s="3" t="inlineStr">
        <is>
          <t>ONG</t>
        </is>
      </c>
      <c r="G20" s="3">
        <f>IFERROR(IF(INDEX('HMM Actors'!$B:$B,MATCH(E20,'HMM Actors'!$A:$A,0))="","(not assigned)",INDEX('HMM Actors'!$B:$B,MATCH(E20,'HMM Actors'!$A:$A,0))),"(not assigned)")</f>
        <v/>
      </c>
      <c r="H20" s="3">
        <f>IFERROR(IF(INDEX('HMM Locations'!$B:$B,MATCH(F20,'HMM Locations'!$A:$A,0))="","(not assigned)",INDEX('HMM Locations'!$B:$B,MATCH(F20,'HMM Locations'!$A:$A,0))),"(not assigned)")</f>
        <v/>
      </c>
      <c r="I20" s="3">
        <f>IFERROR(IF(INDEX('HMM Locations'!$C:$G,MATCH(F20,'HMM Locations'!$A:$A,0),D20)="","(not assigned)",INDEX('HMM Locations'!$C:$G,MATCH(F20,'HMM Locations'!$A:$A,0),D20)),"(not assigned)")</f>
        <v/>
      </c>
      <c r="J20" s="3">
        <f>IF(COUNTIF(G20:I20,"(not assigned)")=0,"Ready","Needs grid entry")</f>
        <v/>
      </c>
      <c r="K20" s="3" t="inlineStr"/>
      <c r="L20" s="3" t="inlineStr">
        <is>
          <t>东西、东</t>
        </is>
      </c>
    </row>
    <row r="21" ht="15.75" customHeight="1" s="9">
      <c r="A21" s="7" t="inlineStr">
        <is>
          <t>都</t>
        </is>
      </c>
      <c r="B21" s="7" t="n">
        <v>1</v>
      </c>
      <c r="C21" s="3" t="inlineStr">
        <is>
          <t>dōu</t>
        </is>
      </c>
      <c r="D21" s="3" t="n">
        <v>1</v>
      </c>
      <c r="E21" s="3" t="inlineStr">
        <is>
          <t>D</t>
        </is>
      </c>
      <c r="F21" s="3" t="inlineStr">
        <is>
          <t>OU</t>
        </is>
      </c>
      <c r="G21" s="3">
        <f>IFERROR(IF(INDEX('HMM Actors'!$B:$B,MATCH(E21,'HMM Actors'!$A:$A,0))="","(not assigned)",INDEX('HMM Actors'!$B:$B,MATCH(E21,'HMM Actors'!$A:$A,0))),"(not assigned)")</f>
        <v/>
      </c>
      <c r="H21" s="3">
        <f>IFERROR(IF(INDEX('HMM Locations'!$B:$B,MATCH(F21,'HMM Locations'!$A:$A,0))="","(not assigned)",INDEX('HMM Locations'!$B:$B,MATCH(F21,'HMM Locations'!$A:$A,0))),"(not assigned)")</f>
        <v/>
      </c>
      <c r="I21" s="3">
        <f>IFERROR(IF(INDEX('HMM Locations'!$C:$G,MATCH(F21,'HMM Locations'!$A:$A,0),D21)="","(not assigned)",INDEX('HMM Locations'!$C:$G,MATCH(F21,'HMM Locations'!$A:$A,0),D21)),"(not assigned)")</f>
        <v/>
      </c>
      <c r="J21" s="3">
        <f>IF(COUNTIF(G21:I21,"(not assigned)")=0,"Ready","Needs grid entry")</f>
        <v/>
      </c>
      <c r="K21" s="3" t="inlineStr"/>
      <c r="L21" s="3" t="inlineStr">
        <is>
          <t>都</t>
        </is>
      </c>
    </row>
    <row r="22" ht="15.75" customHeight="1" s="9">
      <c r="A22" s="7" t="inlineStr">
        <is>
          <t>读</t>
        </is>
      </c>
      <c r="B22" s="7" t="n">
        <v>1</v>
      </c>
      <c r="C22" s="3" t="inlineStr">
        <is>
          <t>dú</t>
        </is>
      </c>
      <c r="D22" s="3" t="n">
        <v>2</v>
      </c>
      <c r="E22" s="3" t="inlineStr">
        <is>
          <t>D</t>
        </is>
      </c>
      <c r="F22" s="3" t="inlineStr">
        <is>
          <t>U</t>
        </is>
      </c>
      <c r="G22" s="3">
        <f>IFERROR(IF(INDEX('HMM Actors'!$B:$B,MATCH(E22,'HMM Actors'!$A:$A,0))="","(not assigned)",INDEX('HMM Actors'!$B:$B,MATCH(E22,'HMM Actors'!$A:$A,0))),"(not assigned)")</f>
        <v/>
      </c>
      <c r="H22" s="3">
        <f>IFERROR(IF(INDEX('HMM Locations'!$B:$B,MATCH(F22,'HMM Locations'!$A:$A,0))="","(not assigned)",INDEX('HMM Locations'!$B:$B,MATCH(F22,'HMM Locations'!$A:$A,0))),"(not assigned)")</f>
        <v/>
      </c>
      <c r="I22" s="3">
        <f>IFERROR(IF(INDEX('HMM Locations'!$C:$G,MATCH(F22,'HMM Locations'!$A:$A,0),D22)="","(not assigned)",INDEX('HMM Locations'!$C:$G,MATCH(F22,'HMM Locations'!$A:$A,0),D22)),"(not assigned)")</f>
        <v/>
      </c>
      <c r="J22" s="3">
        <f>IF(COUNTIF(G22:I22,"(not assigned)")=0,"Ready","Needs grid entry")</f>
        <v/>
      </c>
      <c r="K22" s="3" t="inlineStr"/>
      <c r="L22" s="3" t="inlineStr">
        <is>
          <t>读</t>
        </is>
      </c>
    </row>
    <row r="23" ht="15.75" customHeight="1" s="9">
      <c r="A23" s="7" t="inlineStr">
        <is>
          <t>对</t>
        </is>
      </c>
      <c r="B23" s="7" t="n">
        <v>1</v>
      </c>
      <c r="C23" s="3" t="inlineStr">
        <is>
          <t>duì</t>
        </is>
      </c>
      <c r="D23" s="3" t="n">
        <v>4</v>
      </c>
      <c r="E23" s="3" t="inlineStr">
        <is>
          <t>D</t>
        </is>
      </c>
      <c r="F23" s="3" t="inlineStr">
        <is>
          <t>UI</t>
        </is>
      </c>
      <c r="G23" s="3">
        <f>IFERROR(IF(INDEX('HMM Actors'!$B:$B,MATCH(E23,'HMM Actors'!$A:$A,0))="","(not assigned)",INDEX('HMM Actors'!$B:$B,MATCH(E23,'HMM Actors'!$A:$A,0))),"(not assigned)")</f>
        <v/>
      </c>
      <c r="H23" s="3">
        <f>IFERROR(IF(INDEX('HMM Locations'!$B:$B,MATCH(F23,'HMM Locations'!$A:$A,0))="","(not assigned)",INDEX('HMM Locations'!$B:$B,MATCH(F23,'HMM Locations'!$A:$A,0))),"(not assigned)")</f>
        <v/>
      </c>
      <c r="I23" s="3">
        <f>IFERROR(IF(INDEX('HMM Locations'!$C:$G,MATCH(F23,'HMM Locations'!$A:$A,0),D23)="","(not assigned)",INDEX('HMM Locations'!$C:$G,MATCH(F23,'HMM Locations'!$A:$A,0),D23)),"(not assigned)")</f>
        <v/>
      </c>
      <c r="J23" s="3">
        <f>IF(COUNTIF(G23:I23,"(not assigned)")=0,"Ready","Needs grid entry")</f>
        <v/>
      </c>
      <c r="K23" s="3" t="inlineStr"/>
      <c r="L23" s="3" t="inlineStr">
        <is>
          <t>对不起、对</t>
        </is>
      </c>
    </row>
    <row r="24" ht="15.75" customHeight="1" s="9">
      <c r="A24" s="7" t="inlineStr">
        <is>
          <t>多</t>
        </is>
      </c>
      <c r="B24" s="7" t="n">
        <v>1</v>
      </c>
      <c r="C24" s="3" t="inlineStr">
        <is>
          <t>duō</t>
        </is>
      </c>
      <c r="D24" s="3" t="n">
        <v>1</v>
      </c>
      <c r="E24" s="3" t="inlineStr">
        <is>
          <t>D</t>
        </is>
      </c>
      <c r="F24" s="3" t="inlineStr">
        <is>
          <t>UO</t>
        </is>
      </c>
      <c r="G24" s="3">
        <f>IFERROR(IF(INDEX('HMM Actors'!$B:$B,MATCH(E24,'HMM Actors'!$A:$A,0))="","(not assigned)",INDEX('HMM Actors'!$B:$B,MATCH(E24,'HMM Actors'!$A:$A,0))),"(not assigned)")</f>
        <v/>
      </c>
      <c r="H24" s="3">
        <f>IFERROR(IF(INDEX('HMM Locations'!$B:$B,MATCH(F24,'HMM Locations'!$A:$A,0))="","(not assigned)",INDEX('HMM Locations'!$B:$B,MATCH(F24,'HMM Locations'!$A:$A,0))),"(not assigned)")</f>
        <v/>
      </c>
      <c r="I24" s="3">
        <f>IFERROR(IF(INDEX('HMM Locations'!$C:$G,MATCH(F24,'HMM Locations'!$A:$A,0),D24)="","(not assigned)",INDEX('HMM Locations'!$C:$G,MATCH(F24,'HMM Locations'!$A:$A,0),D24)),"(not assigned)")</f>
        <v/>
      </c>
      <c r="J24" s="3">
        <f>IF(COUNTIF(G24:I24,"(not assigned)")=0,"Ready","Needs grid entry")</f>
        <v/>
      </c>
      <c r="K24" s="3" t="inlineStr"/>
      <c r="L24" s="3" t="inlineStr">
        <is>
          <t>多、多少、多么</t>
        </is>
      </c>
    </row>
    <row r="25" ht="15.75" customHeight="1" s="9">
      <c r="A25" s="7" t="inlineStr">
        <is>
          <t>儿</t>
        </is>
      </c>
      <c r="B25" s="7" t="n">
        <v>1</v>
      </c>
      <c r="C25" s="3" t="inlineStr">
        <is>
          <t>ér</t>
        </is>
      </c>
      <c r="D25" s="3" t="n">
        <v>2</v>
      </c>
      <c r="E25" s="3" t="inlineStr">
        <is>
          <t>Ø</t>
        </is>
      </c>
      <c r="F25" s="3" t="inlineStr">
        <is>
          <t>ER</t>
        </is>
      </c>
      <c r="G25" s="3">
        <f>IFERROR(IF(INDEX('HMM Actors'!$B:$B,MATCH(E25,'HMM Actors'!$A:$A,0))="","(not assigned)",INDEX('HMM Actors'!$B:$B,MATCH(E25,'HMM Actors'!$A:$A,0))),"(not assigned)")</f>
        <v/>
      </c>
      <c r="H25" s="3">
        <f>IFERROR(IF(INDEX('HMM Locations'!$B:$B,MATCH(F25,'HMM Locations'!$A:$A,0))="","(not assigned)",INDEX('HMM Locations'!$B:$B,MATCH(F25,'HMM Locations'!$A:$A,0))),"(not assigned)")</f>
        <v/>
      </c>
      <c r="I25" s="3">
        <f>IFERROR(IF(INDEX('HMM Locations'!$C:$G,MATCH(F25,'HMM Locations'!$A:$A,0),D25)="","(not assigned)",INDEX('HMM Locations'!$C:$G,MATCH(F25,'HMM Locations'!$A:$A,0),D25)),"(not assigned)")</f>
        <v/>
      </c>
      <c r="J25" s="3">
        <f>IF(COUNTIF(G25:I25,"(not assigned)")=0,"Ready","Needs grid entry")</f>
        <v/>
      </c>
      <c r="K25" s="3" t="inlineStr"/>
      <c r="L25" s="3" t="inlineStr">
        <is>
          <t>儿子、哪儿、女儿、一点儿</t>
        </is>
      </c>
    </row>
    <row r="26" ht="15.75" customHeight="1" s="9">
      <c r="A26" s="7" t="inlineStr">
        <is>
          <t>二</t>
        </is>
      </c>
      <c r="B26" s="7" t="n">
        <v>1</v>
      </c>
      <c r="C26" s="3" t="inlineStr">
        <is>
          <t>èr</t>
        </is>
      </c>
      <c r="D26" s="3" t="n">
        <v>4</v>
      </c>
      <c r="E26" s="3" t="inlineStr">
        <is>
          <t>Ø</t>
        </is>
      </c>
      <c r="F26" s="3" t="inlineStr">
        <is>
          <t>ER</t>
        </is>
      </c>
      <c r="G26" s="3">
        <f>IFERROR(IF(INDEX('HMM Actors'!$B:$B,MATCH(E26,'HMM Actors'!$A:$A,0))="","(not assigned)",INDEX('HMM Actors'!$B:$B,MATCH(E26,'HMM Actors'!$A:$A,0))),"(not assigned)")</f>
        <v/>
      </c>
      <c r="H26" s="3">
        <f>IFERROR(IF(INDEX('HMM Locations'!$B:$B,MATCH(F26,'HMM Locations'!$A:$A,0))="","(not assigned)",INDEX('HMM Locations'!$B:$B,MATCH(F26,'HMM Locations'!$A:$A,0))),"(not assigned)")</f>
        <v/>
      </c>
      <c r="I26" s="3">
        <f>IFERROR(IF(INDEX('HMM Locations'!$C:$G,MATCH(F26,'HMM Locations'!$A:$A,0),D26)="","(not assigned)",INDEX('HMM Locations'!$C:$G,MATCH(F26,'HMM Locations'!$A:$A,0),D26)),"(not assigned)")</f>
        <v/>
      </c>
      <c r="J26" s="3">
        <f>IF(COUNTIF(G26:I26,"(not assigned)")=0,"Ready","Needs grid entry")</f>
        <v/>
      </c>
      <c r="K26" s="3" t="inlineStr"/>
      <c r="L26" s="3" t="inlineStr">
        <is>
          <t>二</t>
        </is>
      </c>
    </row>
    <row r="27" ht="15.75" customHeight="1" s="9">
      <c r="A27" s="7" t="inlineStr">
        <is>
          <t>饭</t>
        </is>
      </c>
      <c r="B27" s="7" t="n">
        <v>1</v>
      </c>
      <c r="C27" s="3" t="inlineStr">
        <is>
          <t>fàn</t>
        </is>
      </c>
      <c r="D27" s="3" t="n">
        <v>4</v>
      </c>
      <c r="E27" s="3" t="inlineStr">
        <is>
          <t>F</t>
        </is>
      </c>
      <c r="F27" s="3" t="inlineStr">
        <is>
          <t>AN</t>
        </is>
      </c>
      <c r="G27" s="3">
        <f>IFERROR(IF(INDEX('HMM Actors'!$B:$B,MATCH(E27,'HMM Actors'!$A:$A,0))="","(not assigned)",INDEX('HMM Actors'!$B:$B,MATCH(E27,'HMM Actors'!$A:$A,0))),"(not assigned)")</f>
        <v/>
      </c>
      <c r="H27" s="3">
        <f>IFERROR(IF(INDEX('HMM Locations'!$B:$B,MATCH(F27,'HMM Locations'!$A:$A,0))="","(not assigned)",INDEX('HMM Locations'!$B:$B,MATCH(F27,'HMM Locations'!$A:$A,0))),"(not assigned)")</f>
        <v/>
      </c>
      <c r="I27" s="3">
        <f>IFERROR(IF(INDEX('HMM Locations'!$C:$G,MATCH(F27,'HMM Locations'!$A:$A,0),D27)="","(not assigned)",INDEX('HMM Locations'!$C:$G,MATCH(F27,'HMM Locations'!$A:$A,0),D27)),"(not assigned)")</f>
        <v/>
      </c>
      <c r="J27" s="3">
        <f>IF(COUNTIF(G27:I27,"(not assigned)")=0,"Ready","Needs grid entry")</f>
        <v/>
      </c>
      <c r="K27" s="3" t="inlineStr"/>
      <c r="L27" s="3" t="inlineStr">
        <is>
          <t>饭店、米饭</t>
        </is>
      </c>
    </row>
    <row r="28" ht="15.75" customHeight="1" s="9">
      <c r="A28" s="7" t="inlineStr">
        <is>
          <t>飞</t>
        </is>
      </c>
      <c r="B28" s="7" t="n">
        <v>1</v>
      </c>
      <c r="C28" s="3" t="inlineStr">
        <is>
          <t>fēi</t>
        </is>
      </c>
      <c r="D28" s="3" t="n">
        <v>1</v>
      </c>
      <c r="E28" s="3" t="inlineStr">
        <is>
          <t>F</t>
        </is>
      </c>
      <c r="F28" s="3" t="inlineStr">
        <is>
          <t>EI</t>
        </is>
      </c>
      <c r="G28" s="3">
        <f>IFERROR(IF(INDEX('HMM Actors'!$B:$B,MATCH(E28,'HMM Actors'!$A:$A,0))="","(not assigned)",INDEX('HMM Actors'!$B:$B,MATCH(E28,'HMM Actors'!$A:$A,0))),"(not assigned)")</f>
        <v/>
      </c>
      <c r="H28" s="3">
        <f>IFERROR(IF(INDEX('HMM Locations'!$B:$B,MATCH(F28,'HMM Locations'!$A:$A,0))="","(not assigned)",INDEX('HMM Locations'!$B:$B,MATCH(F28,'HMM Locations'!$A:$A,0))),"(not assigned)")</f>
        <v/>
      </c>
      <c r="I28" s="3">
        <f>IFERROR(IF(INDEX('HMM Locations'!$C:$G,MATCH(F28,'HMM Locations'!$A:$A,0),D28)="","(not assigned)",INDEX('HMM Locations'!$C:$G,MATCH(F28,'HMM Locations'!$A:$A,0),D28)),"(not assigned)")</f>
        <v/>
      </c>
      <c r="J28" s="3">
        <f>IF(COUNTIF(G28:I28,"(not assigned)")=0,"Ready","Needs grid entry")</f>
        <v/>
      </c>
      <c r="K28" s="3" t="inlineStr"/>
      <c r="L28" s="3" t="inlineStr">
        <is>
          <t>飞机、起飞</t>
        </is>
      </c>
    </row>
    <row r="29" ht="15.75" customHeight="1" s="9">
      <c r="A29" s="7" t="inlineStr">
        <is>
          <t>分</t>
        </is>
      </c>
      <c r="B29" s="7" t="n">
        <v>1</v>
      </c>
      <c r="C29" s="3" t="inlineStr">
        <is>
          <t>fēn</t>
        </is>
      </c>
      <c r="D29" s="3" t="n">
        <v>1</v>
      </c>
      <c r="E29" s="3" t="inlineStr">
        <is>
          <t>F</t>
        </is>
      </c>
      <c r="F29" s="3" t="inlineStr">
        <is>
          <t>(E)N</t>
        </is>
      </c>
      <c r="G29" s="3">
        <f>IFERROR(IF(INDEX('HMM Actors'!$B:$B,MATCH(E29,'HMM Actors'!$A:$A,0))="","(not assigned)",INDEX('HMM Actors'!$B:$B,MATCH(E29,'HMM Actors'!$A:$A,0))),"(not assigned)")</f>
        <v/>
      </c>
      <c r="H29" s="3">
        <f>IFERROR(IF(INDEX('HMM Locations'!$B:$B,MATCH(F29,'HMM Locations'!$A:$A,0))="","(not assigned)",INDEX('HMM Locations'!$B:$B,MATCH(F29,'HMM Locations'!$A:$A,0))),"(not assigned)")</f>
        <v/>
      </c>
      <c r="I29" s="3">
        <f>IFERROR(IF(INDEX('HMM Locations'!$C:$G,MATCH(F29,'HMM Locations'!$A:$A,0),D29)="","(not assigned)",INDEX('HMM Locations'!$C:$G,MATCH(F29,'HMM Locations'!$A:$A,0),D29)),"(not assigned)")</f>
        <v/>
      </c>
      <c r="J29" s="3">
        <f>IF(COUNTIF(G29:I29,"(not assigned)")=0,"Ready","Needs grid entry")</f>
        <v/>
      </c>
      <c r="K29" s="3" t="inlineStr"/>
      <c r="L29" s="3" t="inlineStr">
        <is>
          <t>分钟、分</t>
        </is>
      </c>
    </row>
    <row r="30" ht="15.75" customHeight="1" s="9">
      <c r="A30" s="7" t="inlineStr">
        <is>
          <t>服</t>
        </is>
      </c>
      <c r="B30" s="7" t="n">
        <v>1</v>
      </c>
      <c r="C30" s="3" t="inlineStr">
        <is>
          <t>fú</t>
        </is>
      </c>
      <c r="D30" s="3" t="n">
        <v>2</v>
      </c>
      <c r="E30" s="3" t="inlineStr">
        <is>
          <t>F</t>
        </is>
      </c>
      <c r="F30" s="3" t="inlineStr">
        <is>
          <t>U</t>
        </is>
      </c>
      <c r="G30" s="3">
        <f>IFERROR(IF(INDEX('HMM Actors'!$B:$B,MATCH(E30,'HMM Actors'!$A:$A,0))="","(not assigned)",INDEX('HMM Actors'!$B:$B,MATCH(E30,'HMM Actors'!$A:$A,0))),"(not assigned)")</f>
        <v/>
      </c>
      <c r="H30" s="3">
        <f>IFERROR(IF(INDEX('HMM Locations'!$B:$B,MATCH(F30,'HMM Locations'!$A:$A,0))="","(not assigned)",INDEX('HMM Locations'!$B:$B,MATCH(F30,'HMM Locations'!$A:$A,0))),"(not assigned)")</f>
        <v/>
      </c>
      <c r="I30" s="3">
        <f>IFERROR(IF(INDEX('HMM Locations'!$C:$G,MATCH(F30,'HMM Locations'!$A:$A,0),D30)="","(not assigned)",INDEX('HMM Locations'!$C:$G,MATCH(F30,'HMM Locations'!$A:$A,0),D30)),"(not assigned)")</f>
        <v/>
      </c>
      <c r="J30" s="3">
        <f>IF(COUNTIF(G30:I30,"(not assigned)")=0,"Ready","Needs grid entry")</f>
        <v/>
      </c>
      <c r="K30" s="3" t="inlineStr"/>
      <c r="L30" s="3" t="inlineStr">
        <is>
          <t>衣服、服务员、舒服</t>
        </is>
      </c>
    </row>
    <row r="31" ht="15.75" customHeight="1" s="9">
      <c r="A31" s="7" t="inlineStr">
        <is>
          <t>高</t>
        </is>
      </c>
      <c r="B31" s="7" t="n">
        <v>1</v>
      </c>
      <c r="C31" s="3" t="inlineStr">
        <is>
          <t>gāo</t>
        </is>
      </c>
      <c r="D31" s="3" t="n">
        <v>1</v>
      </c>
      <c r="E31" s="3" t="inlineStr">
        <is>
          <t>G</t>
        </is>
      </c>
      <c r="F31" s="3" t="inlineStr">
        <is>
          <t>AO</t>
        </is>
      </c>
      <c r="G31" s="3">
        <f>IFERROR(IF(INDEX('HMM Actors'!$B:$B,MATCH(E31,'HMM Actors'!$A:$A,0))="","(not assigned)",INDEX('HMM Actors'!$B:$B,MATCH(E31,'HMM Actors'!$A:$A,0))),"(not assigned)")</f>
        <v/>
      </c>
      <c r="H31" s="3">
        <f>IFERROR(IF(INDEX('HMM Locations'!$B:$B,MATCH(F31,'HMM Locations'!$A:$A,0))="","(not assigned)",INDEX('HMM Locations'!$B:$B,MATCH(F31,'HMM Locations'!$A:$A,0))),"(not assigned)")</f>
        <v/>
      </c>
      <c r="I31" s="3">
        <f>IFERROR(IF(INDEX('HMM Locations'!$C:$G,MATCH(F31,'HMM Locations'!$A:$A,0),D31)="","(not assigned)",INDEX('HMM Locations'!$C:$G,MATCH(F31,'HMM Locations'!$A:$A,0),D31)),"(not assigned)")</f>
        <v/>
      </c>
      <c r="J31" s="3">
        <f>IF(COUNTIF(G31:I31,"(not assigned)")=0,"Ready","Needs grid entry")</f>
        <v/>
      </c>
      <c r="K31" s="3" t="inlineStr"/>
      <c r="L31" s="3" t="inlineStr">
        <is>
          <t>高兴、高、提高</t>
        </is>
      </c>
    </row>
    <row r="32" ht="15.75" customHeight="1" s="9">
      <c r="A32" s="7" t="inlineStr">
        <is>
          <t>个</t>
        </is>
      </c>
      <c r="B32" s="7" t="n">
        <v>1</v>
      </c>
      <c r="C32" s="3" t="inlineStr">
        <is>
          <t>gè</t>
        </is>
      </c>
      <c r="D32" s="3" t="n">
        <v>4</v>
      </c>
      <c r="E32" s="3" t="inlineStr">
        <is>
          <t>G</t>
        </is>
      </c>
      <c r="F32" s="3" t="inlineStr">
        <is>
          <t>E</t>
        </is>
      </c>
      <c r="G32" s="3">
        <f>IFERROR(IF(INDEX('HMM Actors'!$B:$B,MATCH(E32,'HMM Actors'!$A:$A,0))="","(not assigned)",INDEX('HMM Actors'!$B:$B,MATCH(E32,'HMM Actors'!$A:$A,0))),"(not assigned)")</f>
        <v/>
      </c>
      <c r="H32" s="3">
        <f>IFERROR(IF(INDEX('HMM Locations'!$B:$B,MATCH(F32,'HMM Locations'!$A:$A,0))="","(not assigned)",INDEX('HMM Locations'!$B:$B,MATCH(F32,'HMM Locations'!$A:$A,0))),"(not assigned)")</f>
        <v/>
      </c>
      <c r="I32" s="3">
        <f>IFERROR(IF(INDEX('HMM Locations'!$C:$G,MATCH(F32,'HMM Locations'!$A:$A,0),D32)="","(not assigned)",INDEX('HMM Locations'!$C:$G,MATCH(F32,'HMM Locations'!$A:$A,0),D32)),"(not assigned)")</f>
        <v/>
      </c>
      <c r="J32" s="3">
        <f>IF(COUNTIF(G32:I32,"(not assigned)")=0,"Ready","Needs grid entry")</f>
        <v/>
      </c>
      <c r="K32" s="3" t="inlineStr"/>
      <c r="L32" s="3" t="inlineStr">
        <is>
          <t>个、个子</t>
        </is>
      </c>
    </row>
    <row r="33" ht="15.75" customHeight="1" s="9">
      <c r="A33" s="7" t="inlineStr">
        <is>
          <t>工</t>
        </is>
      </c>
      <c r="B33" s="7" t="n">
        <v>1</v>
      </c>
      <c r="C33" s="3" t="inlineStr">
        <is>
          <t>gōng</t>
        </is>
      </c>
      <c r="D33" s="3" t="n">
        <v>1</v>
      </c>
      <c r="E33" s="3" t="inlineStr">
        <is>
          <t>G</t>
        </is>
      </c>
      <c r="F33" s="3" t="inlineStr">
        <is>
          <t>ONG</t>
        </is>
      </c>
      <c r="G33" s="3">
        <f>IFERROR(IF(INDEX('HMM Actors'!$B:$B,MATCH(E33,'HMM Actors'!$A:$A,0))="","(not assigned)",INDEX('HMM Actors'!$B:$B,MATCH(E33,'HMM Actors'!$A:$A,0))),"(not assigned)")</f>
        <v/>
      </c>
      <c r="H33" s="3">
        <f>IFERROR(IF(INDEX('HMM Locations'!$B:$B,MATCH(F33,'HMM Locations'!$A:$A,0))="","(not assigned)",INDEX('HMM Locations'!$B:$B,MATCH(F33,'HMM Locations'!$A:$A,0))),"(not assigned)")</f>
        <v/>
      </c>
      <c r="I33" s="3">
        <f>IFERROR(IF(INDEX('HMM Locations'!$C:$G,MATCH(F33,'HMM Locations'!$A:$A,0),D33)="","(not assigned)",INDEX('HMM Locations'!$C:$G,MATCH(F33,'HMM Locations'!$A:$A,0),D33)),"(not assigned)")</f>
        <v/>
      </c>
      <c r="J33" s="3">
        <f>IF(COUNTIF(G33:I33,"(not assigned)")=0,"Ready","Needs grid entry")</f>
        <v/>
      </c>
      <c r="K33" s="3" t="inlineStr"/>
      <c r="L33" s="3" t="inlineStr">
        <is>
          <t>工作</t>
        </is>
      </c>
    </row>
    <row r="34" ht="15.75" customHeight="1" s="9">
      <c r="A34" s="7" t="inlineStr">
        <is>
          <t>狗</t>
        </is>
      </c>
      <c r="B34" s="7" t="n">
        <v>1</v>
      </c>
      <c r="C34" s="3" t="inlineStr">
        <is>
          <t>gǒu</t>
        </is>
      </c>
      <c r="D34" s="3" t="n">
        <v>3</v>
      </c>
      <c r="E34" s="3" t="inlineStr">
        <is>
          <t>G</t>
        </is>
      </c>
      <c r="F34" s="3" t="inlineStr">
        <is>
          <t>OU</t>
        </is>
      </c>
      <c r="G34" s="3">
        <f>IFERROR(IF(INDEX('HMM Actors'!$B:$B,MATCH(E34,'HMM Actors'!$A:$A,0))="","(not assigned)",INDEX('HMM Actors'!$B:$B,MATCH(E34,'HMM Actors'!$A:$A,0))),"(not assigned)")</f>
        <v/>
      </c>
      <c r="H34" s="3">
        <f>IFERROR(IF(INDEX('HMM Locations'!$B:$B,MATCH(F34,'HMM Locations'!$A:$A,0))="","(not assigned)",INDEX('HMM Locations'!$B:$B,MATCH(F34,'HMM Locations'!$A:$A,0))),"(not assigned)")</f>
        <v/>
      </c>
      <c r="I34" s="3">
        <f>IFERROR(IF(INDEX('HMM Locations'!$C:$G,MATCH(F34,'HMM Locations'!$A:$A,0),D34)="","(not assigned)",INDEX('HMM Locations'!$C:$G,MATCH(F34,'HMM Locations'!$A:$A,0),D34)),"(not assigned)")</f>
        <v/>
      </c>
      <c r="J34" s="3">
        <f>IF(COUNTIF(G34:I34,"(not assigned)")=0,"Ready","Needs grid entry")</f>
        <v/>
      </c>
      <c r="K34" s="3" t="inlineStr"/>
      <c r="L34" s="3" t="inlineStr">
        <is>
          <t>狗</t>
        </is>
      </c>
    </row>
    <row r="35" ht="15.75" customHeight="1" s="9">
      <c r="A35" s="7" t="inlineStr">
        <is>
          <t>关</t>
        </is>
      </c>
      <c r="B35" s="7" t="n">
        <v>1</v>
      </c>
      <c r="C35" s="3" t="inlineStr">
        <is>
          <t>guān</t>
        </is>
      </c>
      <c r="D35" s="3" t="n">
        <v>1</v>
      </c>
      <c r="E35" s="3" t="inlineStr">
        <is>
          <t>G</t>
        </is>
      </c>
      <c r="F35" s="3" t="inlineStr">
        <is>
          <t>UAN (14th, Jacob-specific)</t>
        </is>
      </c>
      <c r="G35" s="3">
        <f>IFERROR(IF(INDEX('HMM Actors'!$B:$B,MATCH(E35,'HMM Actors'!$A:$A,0))="","(not assigned)",INDEX('HMM Actors'!$B:$B,MATCH(E35,'HMM Actors'!$A:$A,0))),"(not assigned)")</f>
        <v/>
      </c>
      <c r="H35" s="3">
        <f>IFERROR(IF(INDEX('HMM Locations'!$B:$B,MATCH(F35,'HMM Locations'!$A:$A,0))="","(not assigned)",INDEX('HMM Locations'!$B:$B,MATCH(F35,'HMM Locations'!$A:$A,0))),"(not assigned)")</f>
        <v/>
      </c>
      <c r="I35" s="3">
        <f>IFERROR(IF(INDEX('HMM Locations'!$C:$G,MATCH(F35,'HMM Locations'!$A:$A,0),D35)="","(not assigned)",INDEX('HMM Locations'!$C:$G,MATCH(F35,'HMM Locations'!$A:$A,0),D35)),"(not assigned)")</f>
        <v/>
      </c>
      <c r="J35" s="3">
        <f>IF(COUNTIF(G35:I35,"(not assigned)")=0,"Ready","Needs grid entry")</f>
        <v/>
      </c>
      <c r="K35" s="3" t="inlineStr"/>
      <c r="L35" s="3" t="inlineStr">
        <is>
          <t>没关系、关、关系、关心</t>
        </is>
      </c>
    </row>
    <row r="36" ht="15.75" customHeight="1" s="9">
      <c r="A36" s="7" t="inlineStr">
        <is>
          <t>国</t>
        </is>
      </c>
      <c r="B36" s="7" t="n">
        <v>1</v>
      </c>
      <c r="C36" s="3" t="inlineStr">
        <is>
          <t>guó</t>
        </is>
      </c>
      <c r="D36" s="3" t="n">
        <v>2</v>
      </c>
      <c r="E36" s="3" t="inlineStr">
        <is>
          <t>G</t>
        </is>
      </c>
      <c r="F36" s="3" t="inlineStr">
        <is>
          <t>UO</t>
        </is>
      </c>
      <c r="G36" s="3">
        <f>IFERROR(IF(INDEX('HMM Actors'!$B:$B,MATCH(E36,'HMM Actors'!$A:$A,0))="","(not assigned)",INDEX('HMM Actors'!$B:$B,MATCH(E36,'HMM Actors'!$A:$A,0))),"(not assigned)")</f>
        <v/>
      </c>
      <c r="H36" s="3">
        <f>IFERROR(IF(INDEX('HMM Locations'!$B:$B,MATCH(F36,'HMM Locations'!$A:$A,0))="","(not assigned)",INDEX('HMM Locations'!$B:$B,MATCH(F36,'HMM Locations'!$A:$A,0))),"(not assigned)")</f>
        <v/>
      </c>
      <c r="I36" s="3">
        <f>IFERROR(IF(INDEX('HMM Locations'!$C:$G,MATCH(F36,'HMM Locations'!$A:$A,0),D36)="","(not assigned)",INDEX('HMM Locations'!$C:$G,MATCH(F36,'HMM Locations'!$A:$A,0),D36)),"(not assigned)")</f>
        <v/>
      </c>
      <c r="J36" s="3">
        <f>IF(COUNTIF(G36:I36,"(not assigned)")=0,"Ready","Needs grid entry")</f>
        <v/>
      </c>
      <c r="K36" s="3" t="inlineStr"/>
      <c r="L36" s="3" t="inlineStr">
        <is>
          <t>中国、国家</t>
        </is>
      </c>
    </row>
    <row r="37" ht="15.75" customHeight="1" s="9">
      <c r="A37" s="7" t="inlineStr">
        <is>
          <t>果</t>
        </is>
      </c>
      <c r="B37" s="7" t="n">
        <v>1</v>
      </c>
      <c r="C37" s="3" t="inlineStr">
        <is>
          <t>guǒ</t>
        </is>
      </c>
      <c r="D37" s="3" t="n">
        <v>3</v>
      </c>
      <c r="E37" s="3" t="inlineStr">
        <is>
          <t>G</t>
        </is>
      </c>
      <c r="F37" s="3" t="inlineStr">
        <is>
          <t>UO</t>
        </is>
      </c>
      <c r="G37" s="3">
        <f>IFERROR(IF(INDEX('HMM Actors'!$B:$B,MATCH(E37,'HMM Actors'!$A:$A,0))="","(not assigned)",INDEX('HMM Actors'!$B:$B,MATCH(E37,'HMM Actors'!$A:$A,0))),"(not assigned)")</f>
        <v/>
      </c>
      <c r="H37" s="3">
        <f>IFERROR(IF(INDEX('HMM Locations'!$B:$B,MATCH(F37,'HMM Locations'!$A:$A,0))="","(not assigned)",INDEX('HMM Locations'!$B:$B,MATCH(F37,'HMM Locations'!$A:$A,0))),"(not assigned)")</f>
        <v/>
      </c>
      <c r="I37" s="3">
        <f>IFERROR(IF(INDEX('HMM Locations'!$C:$G,MATCH(F37,'HMM Locations'!$A:$A,0),D37)="","(not assigned)",INDEX('HMM Locations'!$C:$G,MATCH(F37,'HMM Locations'!$A:$A,0),D37)),"(not assigned)")</f>
        <v/>
      </c>
      <c r="J37" s="3">
        <f>IF(COUNTIF(G37:I37,"(not assigned)")=0,"Ready","Needs grid entry")</f>
        <v/>
      </c>
      <c r="K37" s="3" t="inlineStr"/>
      <c r="L37" s="3" t="inlineStr">
        <is>
          <t>苹果、水果、如果</t>
        </is>
      </c>
    </row>
    <row r="38" ht="15.75" customHeight="1" s="9">
      <c r="A38" s="7" t="inlineStr">
        <is>
          <t>汉</t>
        </is>
      </c>
      <c r="B38" s="7" t="n">
        <v>1</v>
      </c>
      <c r="C38" s="3" t="inlineStr">
        <is>
          <t>hàn</t>
        </is>
      </c>
      <c r="D38" s="3" t="n">
        <v>4</v>
      </c>
      <c r="E38" s="3" t="inlineStr">
        <is>
          <t>H</t>
        </is>
      </c>
      <c r="F38" s="3" t="inlineStr">
        <is>
          <t>AN</t>
        </is>
      </c>
      <c r="G38" s="3">
        <f>IFERROR(IF(INDEX('HMM Actors'!$B:$B,MATCH(E38,'HMM Actors'!$A:$A,0))="","(not assigned)",INDEX('HMM Actors'!$B:$B,MATCH(E38,'HMM Actors'!$A:$A,0))),"(not assigned)")</f>
        <v/>
      </c>
      <c r="H38" s="3">
        <f>IFERROR(IF(INDEX('HMM Locations'!$B:$B,MATCH(F38,'HMM Locations'!$A:$A,0))="","(not assigned)",INDEX('HMM Locations'!$B:$B,MATCH(F38,'HMM Locations'!$A:$A,0))),"(not assigned)")</f>
        <v/>
      </c>
      <c r="I38" s="3">
        <f>IFERROR(IF(INDEX('HMM Locations'!$C:$G,MATCH(F38,'HMM Locations'!$A:$A,0),D38)="","(not assigned)",INDEX('HMM Locations'!$C:$G,MATCH(F38,'HMM Locations'!$A:$A,0),D38)),"(not assigned)")</f>
        <v/>
      </c>
      <c r="J38" s="3">
        <f>IF(COUNTIF(G38:I38,"(not assigned)")=0,"Ready","Needs grid entry")</f>
        <v/>
      </c>
      <c r="K38" s="3" t="inlineStr"/>
      <c r="L38" s="3" t="inlineStr">
        <is>
          <t>汉语</t>
        </is>
      </c>
    </row>
    <row r="39" ht="15.75" customHeight="1" s="9">
      <c r="A39" s="7" t="inlineStr">
        <is>
          <t>好</t>
        </is>
      </c>
      <c r="B39" s="7" t="n">
        <v>1</v>
      </c>
      <c r="C39" s="3" t="inlineStr">
        <is>
          <t>hǎo</t>
        </is>
      </c>
      <c r="D39" s="3" t="n">
        <v>3</v>
      </c>
      <c r="E39" s="3" t="inlineStr">
        <is>
          <t>H</t>
        </is>
      </c>
      <c r="F39" s="3" t="inlineStr">
        <is>
          <t>AO</t>
        </is>
      </c>
      <c r="G39" s="3">
        <f>IFERROR(IF(INDEX('HMM Actors'!$B:$B,MATCH(E39,'HMM Actors'!$A:$A,0))="","(not assigned)",INDEX('HMM Actors'!$B:$B,MATCH(E39,'HMM Actors'!$A:$A,0))),"(not assigned)")</f>
        <v/>
      </c>
      <c r="H39" s="3">
        <f>IFERROR(IF(INDEX('HMM Locations'!$B:$B,MATCH(F39,'HMM Locations'!$A:$A,0))="","(not assigned)",INDEX('HMM Locations'!$B:$B,MATCH(F39,'HMM Locations'!$A:$A,0))),"(not assigned)")</f>
        <v/>
      </c>
      <c r="I39" s="3">
        <f>IFERROR(IF(INDEX('HMM Locations'!$C:$G,MATCH(F39,'HMM Locations'!$A:$A,0),D39)="","(not assigned)",INDEX('HMM Locations'!$C:$G,MATCH(F39,'HMM Locations'!$A:$A,0),D39)),"(not assigned)")</f>
        <v/>
      </c>
      <c r="J39" s="3">
        <f>IF(COUNTIF(G39:I39,"(not assigned)")=0,"Ready","Needs grid entry")</f>
        <v/>
      </c>
      <c r="K39" s="3" t="inlineStr">
        <is>
          <t>hào</t>
        </is>
      </c>
      <c r="L39" s="3" t="inlineStr">
        <is>
          <t>好、好吃、爱好</t>
        </is>
      </c>
    </row>
    <row r="40" ht="15.75" customHeight="1" s="9">
      <c r="A40" s="7" t="inlineStr">
        <is>
          <t>号</t>
        </is>
      </c>
      <c r="B40" s="7" t="n">
        <v>1</v>
      </c>
      <c r="C40" s="3" t="inlineStr">
        <is>
          <t>hào</t>
        </is>
      </c>
      <c r="D40" s="3" t="n">
        <v>4</v>
      </c>
      <c r="E40" s="3" t="inlineStr">
        <is>
          <t>H</t>
        </is>
      </c>
      <c r="F40" s="3" t="inlineStr">
        <is>
          <t>AO</t>
        </is>
      </c>
      <c r="G40" s="3">
        <f>IFERROR(IF(INDEX('HMM Actors'!$B:$B,MATCH(E40,'HMM Actors'!$A:$A,0))="","(not assigned)",INDEX('HMM Actors'!$B:$B,MATCH(E40,'HMM Actors'!$A:$A,0))),"(not assigned)")</f>
        <v/>
      </c>
      <c r="H40" s="3">
        <f>IFERROR(IF(INDEX('HMM Locations'!$B:$B,MATCH(F40,'HMM Locations'!$A:$A,0))="","(not assigned)",INDEX('HMM Locations'!$B:$B,MATCH(F40,'HMM Locations'!$A:$A,0))),"(not assigned)")</f>
        <v/>
      </c>
      <c r="I40" s="3">
        <f>IFERROR(IF(INDEX('HMM Locations'!$C:$G,MATCH(F40,'HMM Locations'!$A:$A,0),D40)="","(not assigned)",INDEX('HMM Locations'!$C:$G,MATCH(F40,'HMM Locations'!$A:$A,0),D40)),"(not assigned)")</f>
        <v/>
      </c>
      <c r="J40" s="3">
        <f>IF(COUNTIF(G40:I40,"(not assigned)")=0,"Ready","Needs grid entry")</f>
        <v/>
      </c>
      <c r="K40" s="3" t="inlineStr"/>
      <c r="L40" s="3" t="inlineStr">
        <is>
          <t>号</t>
        </is>
      </c>
    </row>
    <row r="41" ht="15.75" customHeight="1" s="9">
      <c r="A41" s="7" t="inlineStr">
        <is>
          <t>喝</t>
        </is>
      </c>
      <c r="B41" s="7" t="n">
        <v>1</v>
      </c>
      <c r="C41" s="3" t="inlineStr">
        <is>
          <t>hē</t>
        </is>
      </c>
      <c r="D41" s="3" t="n">
        <v>1</v>
      </c>
      <c r="E41" s="3" t="inlineStr">
        <is>
          <t>H</t>
        </is>
      </c>
      <c r="F41" s="3" t="inlineStr">
        <is>
          <t>E</t>
        </is>
      </c>
      <c r="G41" s="3">
        <f>IFERROR(IF(INDEX('HMM Actors'!$B:$B,MATCH(E41,'HMM Actors'!$A:$A,0))="","(not assigned)",INDEX('HMM Actors'!$B:$B,MATCH(E41,'HMM Actors'!$A:$A,0))),"(not assigned)")</f>
        <v/>
      </c>
      <c r="H41" s="3">
        <f>IFERROR(IF(INDEX('HMM Locations'!$B:$B,MATCH(F41,'HMM Locations'!$A:$A,0))="","(not assigned)",INDEX('HMM Locations'!$B:$B,MATCH(F41,'HMM Locations'!$A:$A,0))),"(not assigned)")</f>
        <v/>
      </c>
      <c r="I41" s="3">
        <f>IFERROR(IF(INDEX('HMM Locations'!$C:$G,MATCH(F41,'HMM Locations'!$A:$A,0),D41)="","(not assigned)",INDEX('HMM Locations'!$C:$G,MATCH(F41,'HMM Locations'!$A:$A,0),D41)),"(not assigned)")</f>
        <v/>
      </c>
      <c r="J41" s="3">
        <f>IF(COUNTIF(G41:I41,"(not assigned)")=0,"Ready","Needs grid entry")</f>
        <v/>
      </c>
      <c r="K41" s="3" t="inlineStr"/>
      <c r="L41" s="3" t="inlineStr">
        <is>
          <t>喝</t>
        </is>
      </c>
    </row>
    <row r="42" ht="15.75" customHeight="1" s="9">
      <c r="A42" s="7" t="inlineStr">
        <is>
          <t>和</t>
        </is>
      </c>
      <c r="B42" s="7" t="n">
        <v>1</v>
      </c>
      <c r="C42" s="3" t="inlineStr">
        <is>
          <t>hé</t>
        </is>
      </c>
      <c r="D42" s="3" t="n">
        <v>2</v>
      </c>
      <c r="E42" s="3" t="inlineStr">
        <is>
          <t>H</t>
        </is>
      </c>
      <c r="F42" s="3" t="inlineStr">
        <is>
          <t>E</t>
        </is>
      </c>
      <c r="G42" s="3">
        <f>IFERROR(IF(INDEX('HMM Actors'!$B:$B,MATCH(E42,'HMM Actors'!$A:$A,0))="","(not assigned)",INDEX('HMM Actors'!$B:$B,MATCH(E42,'HMM Actors'!$A:$A,0))),"(not assigned)")</f>
        <v/>
      </c>
      <c r="H42" s="3">
        <f>IFERROR(IF(INDEX('HMM Locations'!$B:$B,MATCH(F42,'HMM Locations'!$A:$A,0))="","(not assigned)",INDEX('HMM Locations'!$B:$B,MATCH(F42,'HMM Locations'!$A:$A,0))),"(not assigned)")</f>
        <v/>
      </c>
      <c r="I42" s="3">
        <f>IFERROR(IF(INDEX('HMM Locations'!$C:$G,MATCH(F42,'HMM Locations'!$A:$A,0),D42)="","(not assigned)",INDEX('HMM Locations'!$C:$G,MATCH(F42,'HMM Locations'!$A:$A,0),D42)),"(not assigned)")</f>
        <v/>
      </c>
      <c r="J42" s="3">
        <f>IF(COUNTIF(G42:I42,"(not assigned)")=0,"Ready","Needs grid entry")</f>
        <v/>
      </c>
      <c r="K42" s="3" t="inlineStr"/>
      <c r="L42" s="3" t="inlineStr">
        <is>
          <t>和</t>
        </is>
      </c>
    </row>
    <row r="43" ht="15.75" customHeight="1" s="9">
      <c r="A43" s="7" t="inlineStr">
        <is>
          <t>很</t>
        </is>
      </c>
      <c r="B43" s="7" t="n">
        <v>1</v>
      </c>
      <c r="C43" s="3" t="inlineStr">
        <is>
          <t>hěn</t>
        </is>
      </c>
      <c r="D43" s="3" t="n">
        <v>3</v>
      </c>
      <c r="E43" s="3" t="inlineStr">
        <is>
          <t>H</t>
        </is>
      </c>
      <c r="F43" s="3" t="inlineStr">
        <is>
          <t>(E)N</t>
        </is>
      </c>
      <c r="G43" s="3">
        <f>IFERROR(IF(INDEX('HMM Actors'!$B:$B,MATCH(E43,'HMM Actors'!$A:$A,0))="","(not assigned)",INDEX('HMM Actors'!$B:$B,MATCH(E43,'HMM Actors'!$A:$A,0))),"(not assigned)")</f>
        <v/>
      </c>
      <c r="H43" s="3">
        <f>IFERROR(IF(INDEX('HMM Locations'!$B:$B,MATCH(F43,'HMM Locations'!$A:$A,0))="","(not assigned)",INDEX('HMM Locations'!$B:$B,MATCH(F43,'HMM Locations'!$A:$A,0))),"(not assigned)")</f>
        <v/>
      </c>
      <c r="I43" s="3">
        <f>IFERROR(IF(INDEX('HMM Locations'!$C:$G,MATCH(F43,'HMM Locations'!$A:$A,0),D43)="","(not assigned)",INDEX('HMM Locations'!$C:$G,MATCH(F43,'HMM Locations'!$A:$A,0),D43)),"(not assigned)")</f>
        <v/>
      </c>
      <c r="J43" s="3">
        <f>IF(COUNTIF(G43:I43,"(not assigned)")=0,"Ready","Needs grid entry")</f>
        <v/>
      </c>
      <c r="K43" s="3" t="inlineStr"/>
      <c r="L43" s="3" t="inlineStr">
        <is>
          <t>很</t>
        </is>
      </c>
    </row>
    <row r="44" ht="15.75" customHeight="1" s="9">
      <c r="A44" s="7" t="inlineStr">
        <is>
          <t>后</t>
        </is>
      </c>
      <c r="B44" s="7" t="n">
        <v>1</v>
      </c>
      <c r="C44" s="3" t="inlineStr">
        <is>
          <t>hòu</t>
        </is>
      </c>
      <c r="D44" s="3" t="n">
        <v>4</v>
      </c>
      <c r="E44" s="3" t="inlineStr">
        <is>
          <t>H</t>
        </is>
      </c>
      <c r="F44" s="3" t="inlineStr">
        <is>
          <t>OU</t>
        </is>
      </c>
      <c r="G44" s="3">
        <f>IFERROR(IF(INDEX('HMM Actors'!$B:$B,MATCH(E44,'HMM Actors'!$A:$A,0))="","(not assigned)",INDEX('HMM Actors'!$B:$B,MATCH(E44,'HMM Actors'!$A:$A,0))),"(not assigned)")</f>
        <v/>
      </c>
      <c r="H44" s="3">
        <f>IFERROR(IF(INDEX('HMM Locations'!$B:$B,MATCH(F44,'HMM Locations'!$A:$A,0))="","(not assigned)",INDEX('HMM Locations'!$B:$B,MATCH(F44,'HMM Locations'!$A:$A,0))),"(not assigned)")</f>
        <v/>
      </c>
      <c r="I44" s="3">
        <f>IFERROR(IF(INDEX('HMM Locations'!$C:$G,MATCH(F44,'HMM Locations'!$A:$A,0),D44)="","(not assigned)",INDEX('HMM Locations'!$C:$G,MATCH(F44,'HMM Locations'!$A:$A,0),D44)),"(not assigned)")</f>
        <v/>
      </c>
      <c r="J44" s="3">
        <f>IF(COUNTIF(G44:I44,"(not assigned)")=0,"Ready","Needs grid entry")</f>
        <v/>
      </c>
      <c r="K44" s="3" t="inlineStr"/>
      <c r="L44" s="3" t="inlineStr">
        <is>
          <t>后面、后来、然后、最后</t>
        </is>
      </c>
    </row>
    <row r="45" ht="15.75" customHeight="1" s="9">
      <c r="A45" s="7" t="inlineStr">
        <is>
          <t>候</t>
        </is>
      </c>
      <c r="B45" s="7" t="n">
        <v>1</v>
      </c>
      <c r="C45" s="3" t="inlineStr">
        <is>
          <t>hòu</t>
        </is>
      </c>
      <c r="D45" s="3" t="n">
        <v>4</v>
      </c>
      <c r="E45" s="3" t="inlineStr">
        <is>
          <t>H</t>
        </is>
      </c>
      <c r="F45" s="3" t="inlineStr">
        <is>
          <t>OU</t>
        </is>
      </c>
      <c r="G45" s="3">
        <f>IFERROR(IF(INDEX('HMM Actors'!$B:$B,MATCH(E45,'HMM Actors'!$A:$A,0))="","(not assigned)",INDEX('HMM Actors'!$B:$B,MATCH(E45,'HMM Actors'!$A:$A,0))),"(not assigned)")</f>
        <v/>
      </c>
      <c r="H45" s="3">
        <f>IFERROR(IF(INDEX('HMM Locations'!$B:$B,MATCH(F45,'HMM Locations'!$A:$A,0))="","(not assigned)",INDEX('HMM Locations'!$B:$B,MATCH(F45,'HMM Locations'!$A:$A,0))),"(not assigned)")</f>
        <v/>
      </c>
      <c r="I45" s="3">
        <f>IFERROR(IF(INDEX('HMM Locations'!$C:$G,MATCH(F45,'HMM Locations'!$A:$A,0),D45)="","(not assigned)",INDEX('HMM Locations'!$C:$G,MATCH(F45,'HMM Locations'!$A:$A,0),D45)),"(not assigned)")</f>
        <v/>
      </c>
      <c r="J45" s="3">
        <f>IF(COUNTIF(G45:I45,"(not assigned)")=0,"Ready","Needs grid entry")</f>
        <v/>
      </c>
      <c r="K45" s="3" t="inlineStr"/>
      <c r="L45" s="3" t="inlineStr">
        <is>
          <t>时候</t>
        </is>
      </c>
    </row>
    <row r="46" ht="15.75" customHeight="1" s="9">
      <c r="A46" s="7" t="inlineStr">
        <is>
          <t>话</t>
        </is>
      </c>
      <c r="B46" s="7" t="n">
        <v>1</v>
      </c>
      <c r="C46" s="3" t="inlineStr">
        <is>
          <t>huà</t>
        </is>
      </c>
      <c r="D46" s="3" t="n">
        <v>4</v>
      </c>
      <c r="E46" s="3" t="inlineStr">
        <is>
          <t>H</t>
        </is>
      </c>
      <c r="F46" s="3" t="inlineStr">
        <is>
          <t>UA</t>
        </is>
      </c>
      <c r="G46" s="3">
        <f>IFERROR(IF(INDEX('HMM Actors'!$B:$B,MATCH(E46,'HMM Actors'!$A:$A,0))="","(not assigned)",INDEX('HMM Actors'!$B:$B,MATCH(E46,'HMM Actors'!$A:$A,0))),"(not assigned)")</f>
        <v/>
      </c>
      <c r="H46" s="3">
        <f>IFERROR(IF(INDEX('HMM Locations'!$B:$B,MATCH(F46,'HMM Locations'!$A:$A,0))="","(not assigned)",INDEX('HMM Locations'!$B:$B,MATCH(F46,'HMM Locations'!$A:$A,0))),"(not assigned)")</f>
        <v/>
      </c>
      <c r="I46" s="3">
        <f>IFERROR(IF(INDEX('HMM Locations'!$C:$G,MATCH(F46,'HMM Locations'!$A:$A,0),D46)="","(not assigned)",INDEX('HMM Locations'!$C:$G,MATCH(F46,'HMM Locations'!$A:$A,0),D46)),"(not assigned)")</f>
        <v/>
      </c>
      <c r="J46" s="3">
        <f>IF(COUNTIF(G46:I46,"(not assigned)")=0,"Ready","Needs grid entry")</f>
        <v/>
      </c>
      <c r="K46" s="3" t="inlineStr"/>
      <c r="L46" s="3" t="inlineStr">
        <is>
          <t>打电话、说话</t>
        </is>
      </c>
    </row>
    <row r="47" ht="15.75" customHeight="1" s="9">
      <c r="A47" s="7" t="inlineStr">
        <is>
          <t>欢</t>
        </is>
      </c>
      <c r="B47" s="7" t="n">
        <v>1</v>
      </c>
      <c r="C47" s="3" t="inlineStr">
        <is>
          <t>huān</t>
        </is>
      </c>
      <c r="D47" s="3" t="n">
        <v>1</v>
      </c>
      <c r="E47" s="3" t="inlineStr">
        <is>
          <t>H</t>
        </is>
      </c>
      <c r="F47" s="3" t="inlineStr">
        <is>
          <t>UAN (14th, Jacob-specific)</t>
        </is>
      </c>
      <c r="G47" s="3">
        <f>IFERROR(IF(INDEX('HMM Actors'!$B:$B,MATCH(E47,'HMM Actors'!$A:$A,0))="","(not assigned)",INDEX('HMM Actors'!$B:$B,MATCH(E47,'HMM Actors'!$A:$A,0))),"(not assigned)")</f>
        <v/>
      </c>
      <c r="H47" s="3">
        <f>IFERROR(IF(INDEX('HMM Locations'!$B:$B,MATCH(F47,'HMM Locations'!$A:$A,0))="","(not assigned)",INDEX('HMM Locations'!$B:$B,MATCH(F47,'HMM Locations'!$A:$A,0))),"(not assigned)")</f>
        <v/>
      </c>
      <c r="I47" s="3">
        <f>IFERROR(IF(INDEX('HMM Locations'!$C:$G,MATCH(F47,'HMM Locations'!$A:$A,0),D47)="","(not assigned)",INDEX('HMM Locations'!$C:$G,MATCH(F47,'HMM Locations'!$A:$A,0),D47)),"(not assigned)")</f>
        <v/>
      </c>
      <c r="J47" s="3">
        <f>IF(COUNTIF(G47:I47,"(not assigned)")=0,"Ready","Needs grid entry")</f>
        <v/>
      </c>
      <c r="K47" s="3" t="inlineStr"/>
      <c r="L47" s="3" t="inlineStr">
        <is>
          <t>喜欢、欢迎</t>
        </is>
      </c>
    </row>
    <row r="48" ht="15.75" customHeight="1" s="9">
      <c r="A48" s="7" t="inlineStr">
        <is>
          <t>回</t>
        </is>
      </c>
      <c r="B48" s="7" t="n">
        <v>1</v>
      </c>
      <c r="C48" s="3" t="inlineStr">
        <is>
          <t>huí</t>
        </is>
      </c>
      <c r="D48" s="3" t="n">
        <v>2</v>
      </c>
      <c r="E48" s="3" t="inlineStr">
        <is>
          <t>H</t>
        </is>
      </c>
      <c r="F48" s="3" t="inlineStr">
        <is>
          <t>UI</t>
        </is>
      </c>
      <c r="G48" s="3">
        <f>IFERROR(IF(INDEX('HMM Actors'!$B:$B,MATCH(E48,'HMM Actors'!$A:$A,0))="","(not assigned)",INDEX('HMM Actors'!$B:$B,MATCH(E48,'HMM Actors'!$A:$A,0))),"(not assigned)")</f>
        <v/>
      </c>
      <c r="H48" s="3">
        <f>IFERROR(IF(INDEX('HMM Locations'!$B:$B,MATCH(F48,'HMM Locations'!$A:$A,0))="","(not assigned)",INDEX('HMM Locations'!$B:$B,MATCH(F48,'HMM Locations'!$A:$A,0))),"(not assigned)")</f>
        <v/>
      </c>
      <c r="I48" s="3">
        <f>IFERROR(IF(INDEX('HMM Locations'!$C:$G,MATCH(F48,'HMM Locations'!$A:$A,0),D48)="","(not assigned)",INDEX('HMM Locations'!$C:$G,MATCH(F48,'HMM Locations'!$A:$A,0),D48)),"(not assigned)")</f>
        <v/>
      </c>
      <c r="J48" s="3">
        <f>IF(COUNTIF(G48:I48,"(not assigned)")=0,"Ready","Needs grid entry")</f>
        <v/>
      </c>
      <c r="K48" s="3" t="inlineStr"/>
      <c r="L48" s="3" t="inlineStr">
        <is>
          <t>回、回答</t>
        </is>
      </c>
    </row>
    <row r="49" ht="15.75" customHeight="1" s="9">
      <c r="A49" s="7" t="inlineStr">
        <is>
          <t>会</t>
        </is>
      </c>
      <c r="B49" s="7" t="n">
        <v>1</v>
      </c>
      <c r="C49" s="3" t="inlineStr">
        <is>
          <t>huì</t>
        </is>
      </c>
      <c r="D49" s="3" t="n">
        <v>4</v>
      </c>
      <c r="E49" s="3" t="inlineStr">
        <is>
          <t>H</t>
        </is>
      </c>
      <c r="F49" s="3" t="inlineStr">
        <is>
          <t>UI</t>
        </is>
      </c>
      <c r="G49" s="3">
        <f>IFERROR(IF(INDEX('HMM Actors'!$B:$B,MATCH(E49,'HMM Actors'!$A:$A,0))="","(not assigned)",INDEX('HMM Actors'!$B:$B,MATCH(E49,'HMM Actors'!$A:$A,0))),"(not assigned)")</f>
        <v/>
      </c>
      <c r="H49" s="3">
        <f>IFERROR(IF(INDEX('HMM Locations'!$B:$B,MATCH(F49,'HMM Locations'!$A:$A,0))="","(not assigned)",INDEX('HMM Locations'!$B:$B,MATCH(F49,'HMM Locations'!$A:$A,0))),"(not assigned)")</f>
        <v/>
      </c>
      <c r="I49" s="3">
        <f>IFERROR(IF(INDEX('HMM Locations'!$C:$G,MATCH(F49,'HMM Locations'!$A:$A,0),D49)="","(not assigned)",INDEX('HMM Locations'!$C:$G,MATCH(F49,'HMM Locations'!$A:$A,0),D49)),"(not assigned)")</f>
        <v/>
      </c>
      <c r="J49" s="3">
        <f>IF(COUNTIF(G49:I49,"(not assigned)")=0,"Ready","Needs grid entry")</f>
        <v/>
      </c>
      <c r="K49" s="3" t="inlineStr"/>
      <c r="L49" s="3" t="inlineStr">
        <is>
          <t>会、会议、机会、一会儿</t>
        </is>
      </c>
    </row>
    <row r="50" ht="15.75" customHeight="1" s="9">
      <c r="A50" s="7" t="inlineStr">
        <is>
          <t>机</t>
        </is>
      </c>
      <c r="B50" s="7" t="n">
        <v>1</v>
      </c>
      <c r="C50" s="3" t="inlineStr">
        <is>
          <t>jī</t>
        </is>
      </c>
      <c r="D50" s="3" t="n">
        <v>1</v>
      </c>
      <c r="E50" s="3" t="inlineStr">
        <is>
          <t>J</t>
        </is>
      </c>
      <c r="F50" s="3" t="inlineStr">
        <is>
          <t>I</t>
        </is>
      </c>
      <c r="G50" s="3">
        <f>IFERROR(IF(INDEX('HMM Actors'!$B:$B,MATCH(E50,'HMM Actors'!$A:$A,0))="","(not assigned)",INDEX('HMM Actors'!$B:$B,MATCH(E50,'HMM Actors'!$A:$A,0))),"(not assigned)")</f>
        <v/>
      </c>
      <c r="H50" s="3">
        <f>IFERROR(IF(INDEX('HMM Locations'!$B:$B,MATCH(F50,'HMM Locations'!$A:$A,0))="","(not assigned)",INDEX('HMM Locations'!$B:$B,MATCH(F50,'HMM Locations'!$A:$A,0))),"(not assigned)")</f>
        <v/>
      </c>
      <c r="I50" s="3">
        <f>IFERROR(IF(INDEX('HMM Locations'!$C:$G,MATCH(F50,'HMM Locations'!$A:$A,0),D50)="","(not assigned)",INDEX('HMM Locations'!$C:$G,MATCH(F50,'HMM Locations'!$A:$A,0),D50)),"(not assigned)")</f>
        <v/>
      </c>
      <c r="J50" s="3">
        <f>IF(COUNTIF(G50:I50,"(not assigned)")=0,"Ready","Needs grid entry")</f>
        <v/>
      </c>
      <c r="K50" s="3" t="inlineStr"/>
      <c r="L50" s="3" t="inlineStr">
        <is>
          <t>飞机、机场、手机、机会</t>
        </is>
      </c>
    </row>
    <row r="51" ht="15.75" customHeight="1" s="9">
      <c r="A51" s="7" t="inlineStr">
        <is>
          <t>几</t>
        </is>
      </c>
      <c r="B51" s="7" t="n">
        <v>1</v>
      </c>
      <c r="C51" s="3" t="inlineStr">
        <is>
          <t>jǐ</t>
        </is>
      </c>
      <c r="D51" s="3" t="n">
        <v>3</v>
      </c>
      <c r="E51" s="3" t="inlineStr">
        <is>
          <t>J</t>
        </is>
      </c>
      <c r="F51" s="3" t="inlineStr">
        <is>
          <t>I</t>
        </is>
      </c>
      <c r="G51" s="3">
        <f>IFERROR(IF(INDEX('HMM Actors'!$B:$B,MATCH(E51,'HMM Actors'!$A:$A,0))="","(not assigned)",INDEX('HMM Actors'!$B:$B,MATCH(E51,'HMM Actors'!$A:$A,0))),"(not assigned)")</f>
        <v/>
      </c>
      <c r="H51" s="3">
        <f>IFERROR(IF(INDEX('HMM Locations'!$B:$B,MATCH(F51,'HMM Locations'!$A:$A,0))="","(not assigned)",INDEX('HMM Locations'!$B:$B,MATCH(F51,'HMM Locations'!$A:$A,0))),"(not assigned)")</f>
        <v/>
      </c>
      <c r="I51" s="3">
        <f>IFERROR(IF(INDEX('HMM Locations'!$C:$G,MATCH(F51,'HMM Locations'!$A:$A,0),D51)="","(not assigned)",INDEX('HMM Locations'!$C:$G,MATCH(F51,'HMM Locations'!$A:$A,0),D51)),"(not assigned)")</f>
        <v/>
      </c>
      <c r="J51" s="3">
        <f>IF(COUNTIF(G51:I51,"(not assigned)")=0,"Ready","Needs grid entry")</f>
        <v/>
      </c>
      <c r="K51" s="3" t="inlineStr">
        <is>
          <t>jī</t>
        </is>
      </c>
      <c r="L51" s="3" t="inlineStr">
        <is>
          <t>几、几乎</t>
        </is>
      </c>
    </row>
    <row r="52" ht="15.75" customHeight="1" s="9">
      <c r="A52" s="7" t="inlineStr">
        <is>
          <t>家</t>
        </is>
      </c>
      <c r="B52" s="7" t="n">
        <v>1</v>
      </c>
      <c r="C52" s="3" t="inlineStr">
        <is>
          <t>jiā</t>
        </is>
      </c>
      <c r="D52" s="3" t="n">
        <v>1</v>
      </c>
      <c r="E52" s="3" t="inlineStr">
        <is>
          <t>J</t>
        </is>
      </c>
      <c r="F52" s="3" t="inlineStr">
        <is>
          <t>IA</t>
        </is>
      </c>
      <c r="G52" s="3">
        <f>IFERROR(IF(INDEX('HMM Actors'!$B:$B,MATCH(E52,'HMM Actors'!$A:$A,0))="","(not assigned)",INDEX('HMM Actors'!$B:$B,MATCH(E52,'HMM Actors'!$A:$A,0))),"(not assigned)")</f>
        <v/>
      </c>
      <c r="H52" s="3">
        <f>IFERROR(IF(INDEX('HMM Locations'!$B:$B,MATCH(F52,'HMM Locations'!$A:$A,0))="","(not assigned)",INDEX('HMM Locations'!$B:$B,MATCH(F52,'HMM Locations'!$A:$A,0))),"(not assigned)")</f>
        <v/>
      </c>
      <c r="I52" s="3">
        <f>IFERROR(IF(INDEX('HMM Locations'!$C:$G,MATCH(F52,'HMM Locations'!$A:$A,0),D52)="","(not assigned)",INDEX('HMM Locations'!$C:$G,MATCH(F52,'HMM Locations'!$A:$A,0),D52)),"(not assigned)")</f>
        <v/>
      </c>
      <c r="J52" s="3">
        <f>IF(COUNTIF(G52:I52,"(not assigned)")=0,"Ready","Needs grid entry")</f>
        <v/>
      </c>
      <c r="K52" s="3" t="inlineStr"/>
      <c r="L52" s="3" t="inlineStr">
        <is>
          <t>家、大家、国家</t>
        </is>
      </c>
    </row>
    <row r="53" ht="15.75" customHeight="1" s="9">
      <c r="A53" s="7" t="inlineStr">
        <is>
          <t>见</t>
        </is>
      </c>
      <c r="B53" s="7" t="n">
        <v>1</v>
      </c>
      <c r="C53" s="3" t="inlineStr">
        <is>
          <t>jiàn</t>
        </is>
      </c>
      <c r="D53" s="3" t="n">
        <v>4</v>
      </c>
      <c r="E53" s="3" t="inlineStr">
        <is>
          <t>J</t>
        </is>
      </c>
      <c r="F53" s="3" t="inlineStr">
        <is>
          <t>IAN</t>
        </is>
      </c>
      <c r="G53" s="3">
        <f>IFERROR(IF(INDEX('HMM Actors'!$B:$B,MATCH(E53,'HMM Actors'!$A:$A,0))="","(not assigned)",INDEX('HMM Actors'!$B:$B,MATCH(E53,'HMM Actors'!$A:$A,0))),"(not assigned)")</f>
        <v/>
      </c>
      <c r="H53" s="3">
        <f>IFERROR(IF(INDEX('HMM Locations'!$B:$B,MATCH(F53,'HMM Locations'!$A:$A,0))="","(not assigned)",INDEX('HMM Locations'!$B:$B,MATCH(F53,'HMM Locations'!$A:$A,0))),"(not assigned)")</f>
        <v/>
      </c>
      <c r="I53" s="3">
        <f>IFERROR(IF(INDEX('HMM Locations'!$C:$G,MATCH(F53,'HMM Locations'!$A:$A,0),D53)="","(not assigned)",INDEX('HMM Locations'!$C:$G,MATCH(F53,'HMM Locations'!$A:$A,0),D53)),"(not assigned)")</f>
        <v/>
      </c>
      <c r="J53" s="3">
        <f>IF(COUNTIF(G53:I53,"(not assigned)")=0,"Ready","Needs grid entry")</f>
        <v/>
      </c>
      <c r="K53" s="3" t="inlineStr"/>
      <c r="L53" s="3" t="inlineStr">
        <is>
          <t>看见、再见、见面</t>
        </is>
      </c>
    </row>
    <row r="54" ht="15.75" customHeight="1" s="9">
      <c r="A54" s="7" t="inlineStr">
        <is>
          <t>叫</t>
        </is>
      </c>
      <c r="B54" s="7" t="n">
        <v>1</v>
      </c>
      <c r="C54" s="3" t="inlineStr">
        <is>
          <t>jiào</t>
        </is>
      </c>
      <c r="D54" s="3" t="n">
        <v>4</v>
      </c>
      <c r="E54" s="3" t="inlineStr">
        <is>
          <t>J</t>
        </is>
      </c>
      <c r="F54" s="3" t="inlineStr">
        <is>
          <t>IAO</t>
        </is>
      </c>
      <c r="G54" s="3">
        <f>IFERROR(IF(INDEX('HMM Actors'!$B:$B,MATCH(E54,'HMM Actors'!$A:$A,0))="","(not assigned)",INDEX('HMM Actors'!$B:$B,MATCH(E54,'HMM Actors'!$A:$A,0))),"(not assigned)")</f>
        <v/>
      </c>
      <c r="H54" s="3">
        <f>IFERROR(IF(INDEX('HMM Locations'!$B:$B,MATCH(F54,'HMM Locations'!$A:$A,0))="","(not assigned)",INDEX('HMM Locations'!$B:$B,MATCH(F54,'HMM Locations'!$A:$A,0))),"(not assigned)")</f>
        <v/>
      </c>
      <c r="I54" s="3">
        <f>IFERROR(IF(INDEX('HMM Locations'!$C:$G,MATCH(F54,'HMM Locations'!$A:$A,0),D54)="","(not assigned)",INDEX('HMM Locations'!$C:$G,MATCH(F54,'HMM Locations'!$A:$A,0),D54)),"(not assigned)")</f>
        <v/>
      </c>
      <c r="J54" s="3">
        <f>IF(COUNTIF(G54:I54,"(not assigned)")=0,"Ready","Needs grid entry")</f>
        <v/>
      </c>
      <c r="K54" s="3" t="inlineStr"/>
      <c r="L54" s="3" t="inlineStr">
        <is>
          <t>叫</t>
        </is>
      </c>
    </row>
    <row r="55" ht="15.75" customHeight="1" s="9">
      <c r="A55" s="7" t="inlineStr">
        <is>
          <t>姐</t>
        </is>
      </c>
      <c r="B55" s="7" t="n">
        <v>1</v>
      </c>
      <c r="C55" s="3" t="inlineStr">
        <is>
          <t>jiě</t>
        </is>
      </c>
      <c r="D55" s="3" t="n">
        <v>3</v>
      </c>
      <c r="E55" s="3" t="inlineStr">
        <is>
          <t>J</t>
        </is>
      </c>
      <c r="F55" s="3" t="inlineStr">
        <is>
          <t>IE</t>
        </is>
      </c>
      <c r="G55" s="3">
        <f>IFERROR(IF(INDEX('HMM Actors'!$B:$B,MATCH(E55,'HMM Actors'!$A:$A,0))="","(not assigned)",INDEX('HMM Actors'!$B:$B,MATCH(E55,'HMM Actors'!$A:$A,0))),"(not assigned)")</f>
        <v/>
      </c>
      <c r="H55" s="3">
        <f>IFERROR(IF(INDEX('HMM Locations'!$B:$B,MATCH(F55,'HMM Locations'!$A:$A,0))="","(not assigned)",INDEX('HMM Locations'!$B:$B,MATCH(F55,'HMM Locations'!$A:$A,0))),"(not assigned)")</f>
        <v/>
      </c>
      <c r="I55" s="3">
        <f>IFERROR(IF(INDEX('HMM Locations'!$C:$G,MATCH(F55,'HMM Locations'!$A:$A,0),D55)="","(not assigned)",INDEX('HMM Locations'!$C:$G,MATCH(F55,'HMM Locations'!$A:$A,0),D55)),"(not assigned)")</f>
        <v/>
      </c>
      <c r="J55" s="3">
        <f>IF(COUNTIF(G55:I55,"(not assigned)")=0,"Ready","Needs grid entry")</f>
        <v/>
      </c>
      <c r="K55" s="3" t="inlineStr"/>
      <c r="L55" s="3" t="inlineStr">
        <is>
          <t>小姐、姐姐</t>
        </is>
      </c>
    </row>
    <row r="56" ht="15.75" customHeight="1" s="9">
      <c r="A56" s="7" t="inlineStr">
        <is>
          <t>今</t>
        </is>
      </c>
      <c r="B56" s="7" t="n">
        <v>1</v>
      </c>
      <c r="C56" s="3" t="inlineStr">
        <is>
          <t>jīn</t>
        </is>
      </c>
      <c r="D56" s="3" t="n">
        <v>1</v>
      </c>
      <c r="E56" s="3" t="inlineStr">
        <is>
          <t>J</t>
        </is>
      </c>
      <c r="F56" s="3" t="inlineStr">
        <is>
          <t>IN</t>
        </is>
      </c>
      <c r="G56" s="3">
        <f>IFERROR(IF(INDEX('HMM Actors'!$B:$B,MATCH(E56,'HMM Actors'!$A:$A,0))="","(not assigned)",INDEX('HMM Actors'!$B:$B,MATCH(E56,'HMM Actors'!$A:$A,0))),"(not assigned)")</f>
        <v/>
      </c>
      <c r="H56" s="3">
        <f>IFERROR(IF(INDEX('HMM Locations'!$B:$B,MATCH(F56,'HMM Locations'!$A:$A,0))="","(not assigned)",INDEX('HMM Locations'!$B:$B,MATCH(F56,'HMM Locations'!$A:$A,0))),"(not assigned)")</f>
        <v/>
      </c>
      <c r="I56" s="3">
        <f>IFERROR(IF(INDEX('HMM Locations'!$C:$G,MATCH(F56,'HMM Locations'!$A:$A,0),D56)="","(not assigned)",INDEX('HMM Locations'!$C:$G,MATCH(F56,'HMM Locations'!$A:$A,0),D56)),"(not assigned)")</f>
        <v/>
      </c>
      <c r="J56" s="3">
        <f>IF(COUNTIF(G56:I56,"(not assigned)")=0,"Ready","Needs grid entry")</f>
        <v/>
      </c>
      <c r="K56" s="3" t="inlineStr"/>
      <c r="L56" s="3" t="inlineStr">
        <is>
          <t>今天</t>
        </is>
      </c>
    </row>
    <row r="57" ht="15.75" customHeight="1" s="9">
      <c r="A57" s="7" t="inlineStr">
        <is>
          <t>京</t>
        </is>
      </c>
      <c r="B57" s="7" t="n">
        <v>1</v>
      </c>
      <c r="C57" s="3" t="inlineStr">
        <is>
          <t>jīng</t>
        </is>
      </c>
      <c r="D57" s="3" t="n">
        <v>1</v>
      </c>
      <c r="E57" s="3" t="inlineStr">
        <is>
          <t>J</t>
        </is>
      </c>
      <c r="F57" s="3" t="inlineStr">
        <is>
          <t>ING</t>
        </is>
      </c>
      <c r="G57" s="3">
        <f>IFERROR(IF(INDEX('HMM Actors'!$B:$B,MATCH(E57,'HMM Actors'!$A:$A,0))="","(not assigned)",INDEX('HMM Actors'!$B:$B,MATCH(E57,'HMM Actors'!$A:$A,0))),"(not assigned)")</f>
        <v/>
      </c>
      <c r="H57" s="3">
        <f>IFERROR(IF(INDEX('HMM Locations'!$B:$B,MATCH(F57,'HMM Locations'!$A:$A,0))="","(not assigned)",INDEX('HMM Locations'!$B:$B,MATCH(F57,'HMM Locations'!$A:$A,0))),"(not assigned)")</f>
        <v/>
      </c>
      <c r="I57" s="3">
        <f>IFERROR(IF(INDEX('HMM Locations'!$C:$G,MATCH(F57,'HMM Locations'!$A:$A,0),D57)="","(not assigned)",INDEX('HMM Locations'!$C:$G,MATCH(F57,'HMM Locations'!$A:$A,0),D57)),"(not assigned)")</f>
        <v/>
      </c>
      <c r="J57" s="3">
        <f>IF(COUNTIF(G57:I57,"(not assigned)")=0,"Ready","Needs grid entry")</f>
        <v/>
      </c>
      <c r="K57" s="3" t="inlineStr"/>
      <c r="L57" s="3" t="inlineStr">
        <is>
          <t>北京</t>
        </is>
      </c>
    </row>
    <row r="58" ht="15.75" customHeight="1" s="9">
      <c r="A58" s="7" t="inlineStr">
        <is>
          <t>九</t>
        </is>
      </c>
      <c r="B58" s="7" t="n">
        <v>1</v>
      </c>
      <c r="C58" s="3" t="inlineStr">
        <is>
          <t>jiǔ</t>
        </is>
      </c>
      <c r="D58" s="3" t="n">
        <v>3</v>
      </c>
      <c r="E58" s="3" t="inlineStr">
        <is>
          <t>J</t>
        </is>
      </c>
      <c r="F58" s="3" t="inlineStr">
        <is>
          <t>IU</t>
        </is>
      </c>
      <c r="G58" s="3">
        <f>IFERROR(IF(INDEX('HMM Actors'!$B:$B,MATCH(E58,'HMM Actors'!$A:$A,0))="","(not assigned)",INDEX('HMM Actors'!$B:$B,MATCH(E58,'HMM Actors'!$A:$A,0))),"(not assigned)")</f>
        <v/>
      </c>
      <c r="H58" s="3">
        <f>IFERROR(IF(INDEX('HMM Locations'!$B:$B,MATCH(F58,'HMM Locations'!$A:$A,0))="","(not assigned)",INDEX('HMM Locations'!$B:$B,MATCH(F58,'HMM Locations'!$A:$A,0))),"(not assigned)")</f>
        <v/>
      </c>
      <c r="I58" s="3">
        <f>IFERROR(IF(INDEX('HMM Locations'!$C:$G,MATCH(F58,'HMM Locations'!$A:$A,0),D58)="","(not assigned)",INDEX('HMM Locations'!$C:$G,MATCH(F58,'HMM Locations'!$A:$A,0),D58)),"(not assigned)")</f>
        <v/>
      </c>
      <c r="J58" s="3">
        <f>IF(COUNTIF(G58:I58,"(not assigned)")=0,"Ready","Needs grid entry")</f>
        <v/>
      </c>
      <c r="K58" s="3" t="inlineStr"/>
      <c r="L58" s="3" t="inlineStr">
        <is>
          <t>九</t>
        </is>
      </c>
    </row>
    <row r="59" ht="15.75" customHeight="1" s="9">
      <c r="A59" s="7" t="inlineStr">
        <is>
          <t>觉</t>
        </is>
      </c>
      <c r="B59" s="7" t="n">
        <v>1</v>
      </c>
      <c r="C59" s="3" t="inlineStr">
        <is>
          <t>jiào</t>
        </is>
      </c>
      <c r="D59" s="3" t="n">
        <v>4</v>
      </c>
      <c r="E59" s="3" t="inlineStr">
        <is>
          <t>J</t>
        </is>
      </c>
      <c r="F59" s="3" t="inlineStr">
        <is>
          <t>IAO</t>
        </is>
      </c>
      <c r="G59" s="3">
        <f>IFERROR(IF(INDEX('HMM Actors'!$B:$B,MATCH(E59,'HMM Actors'!$A:$A,0))="","(not assigned)",INDEX('HMM Actors'!$B:$B,MATCH(E59,'HMM Actors'!$A:$A,0))),"(not assigned)")</f>
        <v/>
      </c>
      <c r="H59" s="3">
        <f>IFERROR(IF(INDEX('HMM Locations'!$B:$B,MATCH(F59,'HMM Locations'!$A:$A,0))="","(not assigned)",INDEX('HMM Locations'!$B:$B,MATCH(F59,'HMM Locations'!$A:$A,0))),"(not assigned)")</f>
        <v/>
      </c>
      <c r="I59" s="3">
        <f>IFERROR(IF(INDEX('HMM Locations'!$C:$G,MATCH(F59,'HMM Locations'!$A:$A,0),D59)="","(not assigned)",INDEX('HMM Locations'!$C:$G,MATCH(F59,'HMM Locations'!$A:$A,0),D59)),"(not assigned)")</f>
        <v/>
      </c>
      <c r="J59" s="3">
        <f>IF(COUNTIF(G59:I59,"(not assigned)")=0,"Ready","Needs grid entry")</f>
        <v/>
      </c>
      <c r="K59" s="3" t="inlineStr">
        <is>
          <t>jué</t>
        </is>
      </c>
      <c r="L59" s="3" t="inlineStr">
        <is>
          <t>睡觉、觉得</t>
        </is>
      </c>
    </row>
    <row r="60" ht="15.75" customHeight="1" s="9">
      <c r="A60" s="7" t="inlineStr">
        <is>
          <t>开</t>
        </is>
      </c>
      <c r="B60" s="7" t="n">
        <v>1</v>
      </c>
      <c r="C60" s="3" t="inlineStr">
        <is>
          <t>kāi</t>
        </is>
      </c>
      <c r="D60" s="3" t="n">
        <v>1</v>
      </c>
      <c r="E60" s="3" t="inlineStr">
        <is>
          <t>K</t>
        </is>
      </c>
      <c r="F60" s="3" t="inlineStr">
        <is>
          <t>AI</t>
        </is>
      </c>
      <c r="G60" s="3">
        <f>IFERROR(IF(INDEX('HMM Actors'!$B:$B,MATCH(E60,'HMM Actors'!$A:$A,0))="","(not assigned)",INDEX('HMM Actors'!$B:$B,MATCH(E60,'HMM Actors'!$A:$A,0))),"(not assigned)")</f>
        <v/>
      </c>
      <c r="H60" s="3">
        <f>IFERROR(IF(INDEX('HMM Locations'!$B:$B,MATCH(F60,'HMM Locations'!$A:$A,0))="","(not assigned)",INDEX('HMM Locations'!$B:$B,MATCH(F60,'HMM Locations'!$A:$A,0))),"(not assigned)")</f>
        <v/>
      </c>
      <c r="I60" s="3">
        <f>IFERROR(IF(INDEX('HMM Locations'!$C:$G,MATCH(F60,'HMM Locations'!$A:$A,0),D60)="","(not assigned)",INDEX('HMM Locations'!$C:$G,MATCH(F60,'HMM Locations'!$A:$A,0),D60)),"(not assigned)")</f>
        <v/>
      </c>
      <c r="J60" s="3">
        <f>IF(COUNTIF(G60:I60,"(not assigned)")=0,"Ready","Needs grid entry")</f>
        <v/>
      </c>
      <c r="K60" s="3" t="inlineStr"/>
      <c r="L60" s="3" t="inlineStr">
        <is>
          <t>开、开始、离开</t>
        </is>
      </c>
    </row>
    <row r="61" ht="15.75" customHeight="1" s="9">
      <c r="A61" s="7" t="inlineStr">
        <is>
          <t>看</t>
        </is>
      </c>
      <c r="B61" s="7" t="n">
        <v>1</v>
      </c>
      <c r="C61" s="3" t="inlineStr">
        <is>
          <t>kàn</t>
        </is>
      </c>
      <c r="D61" s="3" t="n">
        <v>4</v>
      </c>
      <c r="E61" s="3" t="inlineStr">
        <is>
          <t>K</t>
        </is>
      </c>
      <c r="F61" s="3" t="inlineStr">
        <is>
          <t>AN</t>
        </is>
      </c>
      <c r="G61" s="3">
        <f>IFERROR(IF(INDEX('HMM Actors'!$B:$B,MATCH(E61,'HMM Actors'!$A:$A,0))="","(not assigned)",INDEX('HMM Actors'!$B:$B,MATCH(E61,'HMM Actors'!$A:$A,0))),"(not assigned)")</f>
        <v/>
      </c>
      <c r="H61" s="3">
        <f>IFERROR(IF(INDEX('HMM Locations'!$B:$B,MATCH(F61,'HMM Locations'!$A:$A,0))="","(not assigned)",INDEX('HMM Locations'!$B:$B,MATCH(F61,'HMM Locations'!$A:$A,0))),"(not assigned)")</f>
        <v/>
      </c>
      <c r="I61" s="3">
        <f>IFERROR(IF(INDEX('HMM Locations'!$C:$G,MATCH(F61,'HMM Locations'!$A:$A,0),D61)="","(not assigned)",INDEX('HMM Locations'!$C:$G,MATCH(F61,'HMM Locations'!$A:$A,0),D61)),"(not assigned)")</f>
        <v/>
      </c>
      <c r="J61" s="3">
        <f>IF(COUNTIF(G61:I61,"(not assigned)")=0,"Ready","Needs grid entry")</f>
        <v/>
      </c>
      <c r="K61" s="3" t="inlineStr"/>
      <c r="L61" s="3" t="inlineStr">
        <is>
          <t>看、看见</t>
        </is>
      </c>
    </row>
    <row r="62" ht="15.75" customHeight="1" s="9">
      <c r="A62" s="7" t="inlineStr">
        <is>
          <t>客</t>
        </is>
      </c>
      <c r="B62" s="7" t="n">
        <v>1</v>
      </c>
      <c r="C62" s="3" t="inlineStr">
        <is>
          <t>kè</t>
        </is>
      </c>
      <c r="D62" s="3" t="n">
        <v>4</v>
      </c>
      <c r="E62" s="3" t="inlineStr">
        <is>
          <t>K</t>
        </is>
      </c>
      <c r="F62" s="3" t="inlineStr">
        <is>
          <t>E</t>
        </is>
      </c>
      <c r="G62" s="3">
        <f>IFERROR(IF(INDEX('HMM Actors'!$B:$B,MATCH(E62,'HMM Actors'!$A:$A,0))="","(not assigned)",INDEX('HMM Actors'!$B:$B,MATCH(E62,'HMM Actors'!$A:$A,0))),"(not assigned)")</f>
        <v/>
      </c>
      <c r="H62" s="3">
        <f>IFERROR(IF(INDEX('HMM Locations'!$B:$B,MATCH(F62,'HMM Locations'!$A:$A,0))="","(not assigned)",INDEX('HMM Locations'!$B:$B,MATCH(F62,'HMM Locations'!$A:$A,0))),"(not assigned)")</f>
        <v/>
      </c>
      <c r="I62" s="3">
        <f>IFERROR(IF(INDEX('HMM Locations'!$C:$G,MATCH(F62,'HMM Locations'!$A:$A,0),D62)="","(not assigned)",INDEX('HMM Locations'!$C:$G,MATCH(F62,'HMM Locations'!$A:$A,0),D62)),"(not assigned)")</f>
        <v/>
      </c>
      <c r="J62" s="3">
        <f>IF(COUNTIF(G62:I62,"(not assigned)")=0,"Ready","Needs grid entry")</f>
        <v/>
      </c>
      <c r="K62" s="3" t="inlineStr"/>
      <c r="L62" s="3" t="inlineStr">
        <is>
          <t>不客气、客人</t>
        </is>
      </c>
    </row>
    <row r="63" ht="15.75" customHeight="1" s="9">
      <c r="A63" s="7" t="inlineStr">
        <is>
          <t>块</t>
        </is>
      </c>
      <c r="B63" s="7" t="n">
        <v>1</v>
      </c>
      <c r="C63" s="3" t="inlineStr">
        <is>
          <t>kuài</t>
        </is>
      </c>
      <c r="D63" s="3" t="n">
        <v>4</v>
      </c>
      <c r="E63" s="3" t="inlineStr">
        <is>
          <t>K</t>
        </is>
      </c>
      <c r="F63" s="3" t="inlineStr">
        <is>
          <t>UAI</t>
        </is>
      </c>
      <c r="G63" s="3">
        <f>IFERROR(IF(INDEX('HMM Actors'!$B:$B,MATCH(E63,'HMM Actors'!$A:$A,0))="","(not assigned)",INDEX('HMM Actors'!$B:$B,MATCH(E63,'HMM Actors'!$A:$A,0))),"(not assigned)")</f>
        <v/>
      </c>
      <c r="H63" s="3">
        <f>IFERROR(IF(INDEX('HMM Locations'!$B:$B,MATCH(F63,'HMM Locations'!$A:$A,0))="","(not assigned)",INDEX('HMM Locations'!$B:$B,MATCH(F63,'HMM Locations'!$A:$A,0))),"(not assigned)")</f>
        <v/>
      </c>
      <c r="I63" s="3">
        <f>IFERROR(IF(INDEX('HMM Locations'!$C:$G,MATCH(F63,'HMM Locations'!$A:$A,0),D63)="","(not assigned)",INDEX('HMM Locations'!$C:$G,MATCH(F63,'HMM Locations'!$A:$A,0),D63)),"(not assigned)")</f>
        <v/>
      </c>
      <c r="J63" s="3">
        <f>IF(COUNTIF(G63:I63,"(not assigned)")=0,"Ready","Needs grid entry")</f>
        <v/>
      </c>
      <c r="K63" s="3" t="inlineStr"/>
      <c r="L63" s="3" t="inlineStr">
        <is>
          <t>块</t>
        </is>
      </c>
    </row>
    <row r="64" ht="15.75" customHeight="1" s="9">
      <c r="A64" s="7" t="inlineStr">
        <is>
          <t>来</t>
        </is>
      </c>
      <c r="B64" s="7" t="n">
        <v>1</v>
      </c>
      <c r="C64" s="3" t="inlineStr">
        <is>
          <t>lái</t>
        </is>
      </c>
      <c r="D64" s="3" t="n">
        <v>2</v>
      </c>
      <c r="E64" s="3" t="inlineStr">
        <is>
          <t>L</t>
        </is>
      </c>
      <c r="F64" s="3" t="inlineStr">
        <is>
          <t>AI</t>
        </is>
      </c>
      <c r="G64" s="3">
        <f>IFERROR(IF(INDEX('HMM Actors'!$B:$B,MATCH(E64,'HMM Actors'!$A:$A,0))="","(not assigned)",INDEX('HMM Actors'!$B:$B,MATCH(E64,'HMM Actors'!$A:$A,0))),"(not assigned)")</f>
        <v/>
      </c>
      <c r="H64" s="3">
        <f>IFERROR(IF(INDEX('HMM Locations'!$B:$B,MATCH(F64,'HMM Locations'!$A:$A,0))="","(not assigned)",INDEX('HMM Locations'!$B:$B,MATCH(F64,'HMM Locations'!$A:$A,0))),"(not assigned)")</f>
        <v/>
      </c>
      <c r="I64" s="3">
        <f>IFERROR(IF(INDEX('HMM Locations'!$C:$G,MATCH(F64,'HMM Locations'!$A:$A,0),D64)="","(not assigned)",INDEX('HMM Locations'!$C:$G,MATCH(F64,'HMM Locations'!$A:$A,0),D64)),"(not assigned)")</f>
        <v/>
      </c>
      <c r="J64" s="3">
        <f>IF(COUNTIF(G64:I64,"(not assigned)")=0,"Ready","Needs grid entry")</f>
        <v/>
      </c>
      <c r="K64" s="3" t="inlineStr"/>
      <c r="L64" s="3" t="inlineStr">
        <is>
          <t>来、后来、起来</t>
        </is>
      </c>
    </row>
    <row r="65" ht="15.75" customHeight="1" s="9">
      <c r="A65" s="7" t="inlineStr">
        <is>
          <t>老</t>
        </is>
      </c>
      <c r="B65" s="7" t="n">
        <v>1</v>
      </c>
      <c r="C65" s="3" t="inlineStr">
        <is>
          <t>lǎo</t>
        </is>
      </c>
      <c r="D65" s="3" t="n">
        <v>3</v>
      </c>
      <c r="E65" s="3" t="inlineStr">
        <is>
          <t>L</t>
        </is>
      </c>
      <c r="F65" s="3" t="inlineStr">
        <is>
          <t>AO</t>
        </is>
      </c>
      <c r="G65" s="3">
        <f>IFERROR(IF(INDEX('HMM Actors'!$B:$B,MATCH(E65,'HMM Actors'!$A:$A,0))="","(not assigned)",INDEX('HMM Actors'!$B:$B,MATCH(E65,'HMM Actors'!$A:$A,0))),"(not assigned)")</f>
        <v/>
      </c>
      <c r="H65" s="3">
        <f>IFERROR(IF(INDEX('HMM Locations'!$B:$B,MATCH(F65,'HMM Locations'!$A:$A,0))="","(not assigned)",INDEX('HMM Locations'!$B:$B,MATCH(F65,'HMM Locations'!$A:$A,0))),"(not assigned)")</f>
        <v/>
      </c>
      <c r="I65" s="3">
        <f>IFERROR(IF(INDEX('HMM Locations'!$C:$G,MATCH(F65,'HMM Locations'!$A:$A,0),D65)="","(not assigned)",INDEX('HMM Locations'!$C:$G,MATCH(F65,'HMM Locations'!$A:$A,0),D65)),"(not assigned)")</f>
        <v/>
      </c>
      <c r="J65" s="3">
        <f>IF(COUNTIF(G65:I65,"(not assigned)")=0,"Ready","Needs grid entry")</f>
        <v/>
      </c>
      <c r="K65" s="3" t="inlineStr"/>
      <c r="L65" s="3" t="inlineStr">
        <is>
          <t>老师、老</t>
        </is>
      </c>
    </row>
    <row r="66" ht="15.75" customHeight="1" s="9">
      <c r="A66" s="7" t="inlineStr">
        <is>
          <t>了</t>
        </is>
      </c>
      <c r="B66" s="7" t="n">
        <v>1</v>
      </c>
      <c r="C66" s="3" t="inlineStr">
        <is>
          <t>le</t>
        </is>
      </c>
      <c r="D66" s="3" t="n">
        <v>5</v>
      </c>
      <c r="E66" s="3" t="inlineStr">
        <is>
          <t>L</t>
        </is>
      </c>
      <c r="F66" s="3" t="inlineStr">
        <is>
          <t>E</t>
        </is>
      </c>
      <c r="G66" s="3">
        <f>IFERROR(IF(INDEX('HMM Actors'!$B:$B,MATCH(E66,'HMM Actors'!$A:$A,0))="","(not assigned)",INDEX('HMM Actors'!$B:$B,MATCH(E66,'HMM Actors'!$A:$A,0))),"(not assigned)")</f>
        <v/>
      </c>
      <c r="H66" s="3">
        <f>IFERROR(IF(INDEX('HMM Locations'!$B:$B,MATCH(F66,'HMM Locations'!$A:$A,0))="","(not assigned)",INDEX('HMM Locations'!$B:$B,MATCH(F66,'HMM Locations'!$A:$A,0))),"(not assigned)")</f>
        <v/>
      </c>
      <c r="I66" s="3">
        <f>IFERROR(IF(INDEX('HMM Locations'!$C:$G,MATCH(F66,'HMM Locations'!$A:$A,0),D66)="","(not assigned)",INDEX('HMM Locations'!$C:$G,MATCH(F66,'HMM Locations'!$A:$A,0),D66)),"(not assigned)")</f>
        <v/>
      </c>
      <c r="J66" s="3">
        <f>IF(COUNTIF(G66:I66,"(not assigned)")=0,"Ready","Needs grid entry")</f>
        <v/>
      </c>
      <c r="K66" s="3" t="inlineStr">
        <is>
          <t>liǎo</t>
        </is>
      </c>
      <c r="L66" s="3" t="inlineStr">
        <is>
          <t>了、除了、了解、为了</t>
        </is>
      </c>
    </row>
    <row r="67" ht="15.75" customHeight="1" s="9">
      <c r="A67" s="7" t="inlineStr">
        <is>
          <t>冷</t>
        </is>
      </c>
      <c r="B67" s="7" t="n">
        <v>1</v>
      </c>
      <c r="C67" s="3" t="inlineStr">
        <is>
          <t>lěng</t>
        </is>
      </c>
      <c r="D67" s="3" t="n">
        <v>3</v>
      </c>
      <c r="E67" s="3" t="inlineStr">
        <is>
          <t>L</t>
        </is>
      </c>
      <c r="F67" s="3" t="inlineStr">
        <is>
          <t>(E)NG</t>
        </is>
      </c>
      <c r="G67" s="3">
        <f>IFERROR(IF(INDEX('HMM Actors'!$B:$B,MATCH(E67,'HMM Actors'!$A:$A,0))="","(not assigned)",INDEX('HMM Actors'!$B:$B,MATCH(E67,'HMM Actors'!$A:$A,0))),"(not assigned)")</f>
        <v/>
      </c>
      <c r="H67" s="3">
        <f>IFERROR(IF(INDEX('HMM Locations'!$B:$B,MATCH(F67,'HMM Locations'!$A:$A,0))="","(not assigned)",INDEX('HMM Locations'!$B:$B,MATCH(F67,'HMM Locations'!$A:$A,0))),"(not assigned)")</f>
        <v/>
      </c>
      <c r="I67" s="3">
        <f>IFERROR(IF(INDEX('HMM Locations'!$C:$G,MATCH(F67,'HMM Locations'!$A:$A,0),D67)="","(not assigned)",INDEX('HMM Locations'!$C:$G,MATCH(F67,'HMM Locations'!$A:$A,0),D67)),"(not assigned)")</f>
        <v/>
      </c>
      <c r="J67" s="3">
        <f>IF(COUNTIF(G67:I67,"(not assigned)")=0,"Ready","Needs grid entry")</f>
        <v/>
      </c>
      <c r="K67" s="3" t="inlineStr"/>
      <c r="L67" s="3" t="inlineStr">
        <is>
          <t>冷</t>
        </is>
      </c>
    </row>
    <row r="68" ht="15.75" customHeight="1" s="9">
      <c r="A68" s="7" t="inlineStr">
        <is>
          <t>里</t>
        </is>
      </c>
      <c r="B68" s="7" t="n">
        <v>1</v>
      </c>
      <c r="C68" s="3" t="inlineStr">
        <is>
          <t>lǐ</t>
        </is>
      </c>
      <c r="D68" s="3" t="n">
        <v>3</v>
      </c>
      <c r="E68" s="3" t="inlineStr">
        <is>
          <t>L</t>
        </is>
      </c>
      <c r="F68" s="3" t="inlineStr">
        <is>
          <t>I</t>
        </is>
      </c>
      <c r="G68" s="3">
        <f>IFERROR(IF(INDEX('HMM Actors'!$B:$B,MATCH(E68,'HMM Actors'!$A:$A,0))="","(not assigned)",INDEX('HMM Actors'!$B:$B,MATCH(E68,'HMM Actors'!$A:$A,0))),"(not assigned)")</f>
        <v/>
      </c>
      <c r="H68" s="3">
        <f>IFERROR(IF(INDEX('HMM Locations'!$B:$B,MATCH(F68,'HMM Locations'!$A:$A,0))="","(not assigned)",INDEX('HMM Locations'!$B:$B,MATCH(F68,'HMM Locations'!$A:$A,0))),"(not assigned)")</f>
        <v/>
      </c>
      <c r="I68" s="3">
        <f>IFERROR(IF(INDEX('HMM Locations'!$C:$G,MATCH(F68,'HMM Locations'!$A:$A,0),D68)="","(not assigned)",INDEX('HMM Locations'!$C:$G,MATCH(F68,'HMM Locations'!$A:$A,0),D68)),"(not assigned)")</f>
        <v/>
      </c>
      <c r="J68" s="3">
        <f>IF(COUNTIF(G68:I68,"(not assigned)")=0,"Ready","Needs grid entry")</f>
        <v/>
      </c>
      <c r="K68" s="3" t="inlineStr"/>
      <c r="L68" s="3" t="inlineStr">
        <is>
          <t>里</t>
        </is>
      </c>
    </row>
    <row r="69" ht="15.75" customHeight="1" s="9">
      <c r="A69" s="7" t="inlineStr">
        <is>
          <t>亮</t>
        </is>
      </c>
      <c r="B69" s="7" t="n">
        <v>1</v>
      </c>
      <c r="C69" s="3" t="inlineStr">
        <is>
          <t>liàng</t>
        </is>
      </c>
      <c r="D69" s="3" t="n">
        <v>4</v>
      </c>
      <c r="E69" s="3" t="inlineStr">
        <is>
          <t>L</t>
        </is>
      </c>
      <c r="F69" s="3" t="inlineStr">
        <is>
          <t>IANG</t>
        </is>
      </c>
      <c r="G69" s="3">
        <f>IFERROR(IF(INDEX('HMM Actors'!$B:$B,MATCH(E69,'HMM Actors'!$A:$A,0))="","(not assigned)",INDEX('HMM Actors'!$B:$B,MATCH(E69,'HMM Actors'!$A:$A,0))),"(not assigned)")</f>
        <v/>
      </c>
      <c r="H69" s="3">
        <f>IFERROR(IF(INDEX('HMM Locations'!$B:$B,MATCH(F69,'HMM Locations'!$A:$A,0))="","(not assigned)",INDEX('HMM Locations'!$B:$B,MATCH(F69,'HMM Locations'!$A:$A,0))),"(not assigned)")</f>
        <v/>
      </c>
      <c r="I69" s="3">
        <f>IFERROR(IF(INDEX('HMM Locations'!$C:$G,MATCH(F69,'HMM Locations'!$A:$A,0),D69)="","(not assigned)",INDEX('HMM Locations'!$C:$G,MATCH(F69,'HMM Locations'!$A:$A,0),D69)),"(not assigned)")</f>
        <v/>
      </c>
      <c r="J69" s="3">
        <f>IF(COUNTIF(G69:I69,"(not assigned)")=0,"Ready","Needs grid entry")</f>
        <v/>
      </c>
      <c r="K69" s="3" t="inlineStr"/>
      <c r="L69" s="3" t="inlineStr">
        <is>
          <t>漂亮、月亮</t>
        </is>
      </c>
    </row>
    <row r="70" ht="15.75" customHeight="1" s="9">
      <c r="A70" s="7" t="inlineStr">
        <is>
          <t>六</t>
        </is>
      </c>
      <c r="B70" s="7" t="n">
        <v>1</v>
      </c>
      <c r="C70" s="3" t="inlineStr">
        <is>
          <t>liù</t>
        </is>
      </c>
      <c r="D70" s="3" t="n">
        <v>4</v>
      </c>
      <c r="E70" s="3" t="inlineStr">
        <is>
          <t>L</t>
        </is>
      </c>
      <c r="F70" s="3" t="inlineStr">
        <is>
          <t>IU</t>
        </is>
      </c>
      <c r="G70" s="3">
        <f>IFERROR(IF(INDEX('HMM Actors'!$B:$B,MATCH(E70,'HMM Actors'!$A:$A,0))="","(not assigned)",INDEX('HMM Actors'!$B:$B,MATCH(E70,'HMM Actors'!$A:$A,0))),"(not assigned)")</f>
        <v/>
      </c>
      <c r="H70" s="3">
        <f>IFERROR(IF(INDEX('HMM Locations'!$B:$B,MATCH(F70,'HMM Locations'!$A:$A,0))="","(not assigned)",INDEX('HMM Locations'!$B:$B,MATCH(F70,'HMM Locations'!$A:$A,0))),"(not assigned)")</f>
        <v/>
      </c>
      <c r="I70" s="3">
        <f>IFERROR(IF(INDEX('HMM Locations'!$C:$G,MATCH(F70,'HMM Locations'!$A:$A,0),D70)="","(not assigned)",INDEX('HMM Locations'!$C:$G,MATCH(F70,'HMM Locations'!$A:$A,0),D70)),"(not assigned)")</f>
        <v/>
      </c>
      <c r="J70" s="3">
        <f>IF(COUNTIF(G70:I70,"(not assigned)")=0,"Ready","Needs grid entry")</f>
        <v/>
      </c>
      <c r="K70" s="3" t="inlineStr"/>
      <c r="L70" s="3" t="inlineStr">
        <is>
          <t>六</t>
        </is>
      </c>
    </row>
    <row r="71" ht="15.75" customHeight="1" s="9">
      <c r="A71" s="7" t="inlineStr">
        <is>
          <t>妈</t>
        </is>
      </c>
      <c r="B71" s="7" t="n">
        <v>1</v>
      </c>
      <c r="C71" s="3" t="inlineStr">
        <is>
          <t>mā</t>
        </is>
      </c>
      <c r="D71" s="3" t="n">
        <v>1</v>
      </c>
      <c r="E71" s="3" t="inlineStr">
        <is>
          <t>M</t>
        </is>
      </c>
      <c r="F71" s="3" t="inlineStr">
        <is>
          <t>A</t>
        </is>
      </c>
      <c r="G71" s="3">
        <f>IFERROR(IF(INDEX('HMM Actors'!$B:$B,MATCH(E71,'HMM Actors'!$A:$A,0))="","(not assigned)",INDEX('HMM Actors'!$B:$B,MATCH(E71,'HMM Actors'!$A:$A,0))),"(not assigned)")</f>
        <v/>
      </c>
      <c r="H71" s="3">
        <f>IFERROR(IF(INDEX('HMM Locations'!$B:$B,MATCH(F71,'HMM Locations'!$A:$A,0))="","(not assigned)",INDEX('HMM Locations'!$B:$B,MATCH(F71,'HMM Locations'!$A:$A,0))),"(not assigned)")</f>
        <v/>
      </c>
      <c r="I71" s="3">
        <f>IFERROR(IF(INDEX('HMM Locations'!$C:$G,MATCH(F71,'HMM Locations'!$A:$A,0),D71)="","(not assigned)",INDEX('HMM Locations'!$C:$G,MATCH(F71,'HMM Locations'!$A:$A,0),D71)),"(not assigned)")</f>
        <v/>
      </c>
      <c r="J71" s="3">
        <f>IF(COUNTIF(G71:I71,"(not assigned)")=0,"Ready","Needs grid entry")</f>
        <v/>
      </c>
      <c r="K71" s="3" t="inlineStr"/>
      <c r="L71" s="3" t="inlineStr">
        <is>
          <t>妈妈</t>
        </is>
      </c>
    </row>
    <row r="72" ht="15.75" customHeight="1" s="9">
      <c r="A72" s="7" t="inlineStr">
        <is>
          <t>吗</t>
        </is>
      </c>
      <c r="B72" s="7" t="n">
        <v>1</v>
      </c>
      <c r="C72" s="3" t="inlineStr">
        <is>
          <t>ma</t>
        </is>
      </c>
      <c r="D72" s="3" t="n">
        <v>5</v>
      </c>
      <c r="E72" s="3" t="inlineStr">
        <is>
          <t>M</t>
        </is>
      </c>
      <c r="F72" s="3" t="inlineStr">
        <is>
          <t>A</t>
        </is>
      </c>
      <c r="G72" s="3">
        <f>IFERROR(IF(INDEX('HMM Actors'!$B:$B,MATCH(E72,'HMM Actors'!$A:$A,0))="","(not assigned)",INDEX('HMM Actors'!$B:$B,MATCH(E72,'HMM Actors'!$A:$A,0))),"(not assigned)")</f>
        <v/>
      </c>
      <c r="H72" s="3">
        <f>IFERROR(IF(INDEX('HMM Locations'!$B:$B,MATCH(F72,'HMM Locations'!$A:$A,0))="","(not assigned)",INDEX('HMM Locations'!$B:$B,MATCH(F72,'HMM Locations'!$A:$A,0))),"(not assigned)")</f>
        <v/>
      </c>
      <c r="I72" s="3">
        <f>IFERROR(IF(INDEX('HMM Locations'!$C:$G,MATCH(F72,'HMM Locations'!$A:$A,0),D72)="","(not assigned)",INDEX('HMM Locations'!$C:$G,MATCH(F72,'HMM Locations'!$A:$A,0),D72)),"(not assigned)")</f>
        <v/>
      </c>
      <c r="J72" s="3">
        <f>IF(COUNTIF(G72:I72,"(not assigned)")=0,"Ready","Needs grid entry")</f>
        <v/>
      </c>
      <c r="K72" s="3" t="inlineStr"/>
      <c r="L72" s="3" t="inlineStr">
        <is>
          <t>吗</t>
        </is>
      </c>
    </row>
    <row r="73" ht="15.75" customHeight="1" s="9">
      <c r="A73" s="7" t="inlineStr">
        <is>
          <t>买</t>
        </is>
      </c>
      <c r="B73" s="7" t="n">
        <v>1</v>
      </c>
      <c r="C73" s="3" t="inlineStr">
        <is>
          <t>mǎi</t>
        </is>
      </c>
      <c r="D73" s="3" t="n">
        <v>3</v>
      </c>
      <c r="E73" s="3" t="inlineStr">
        <is>
          <t>M</t>
        </is>
      </c>
      <c r="F73" s="3" t="inlineStr">
        <is>
          <t>AI</t>
        </is>
      </c>
      <c r="G73" s="3">
        <f>IFERROR(IF(INDEX('HMM Actors'!$B:$B,MATCH(E73,'HMM Actors'!$A:$A,0))="","(not assigned)",INDEX('HMM Actors'!$B:$B,MATCH(E73,'HMM Actors'!$A:$A,0))),"(not assigned)")</f>
        <v/>
      </c>
      <c r="H73" s="3">
        <f>IFERROR(IF(INDEX('HMM Locations'!$B:$B,MATCH(F73,'HMM Locations'!$A:$A,0))="","(not assigned)",INDEX('HMM Locations'!$B:$B,MATCH(F73,'HMM Locations'!$A:$A,0))),"(not assigned)")</f>
        <v/>
      </c>
      <c r="I73" s="3">
        <f>IFERROR(IF(INDEX('HMM Locations'!$C:$G,MATCH(F73,'HMM Locations'!$A:$A,0),D73)="","(not assigned)",INDEX('HMM Locations'!$C:$G,MATCH(F73,'HMM Locations'!$A:$A,0),D73)),"(not assigned)")</f>
        <v/>
      </c>
      <c r="J73" s="3">
        <f>IF(COUNTIF(G73:I73,"(not assigned)")=0,"Ready","Needs grid entry")</f>
        <v/>
      </c>
      <c r="K73" s="3" t="inlineStr"/>
      <c r="L73" s="3" t="inlineStr">
        <is>
          <t>买</t>
        </is>
      </c>
    </row>
    <row r="74" ht="15.75" customHeight="1" s="9">
      <c r="A74" s="7" t="inlineStr">
        <is>
          <t>猫</t>
        </is>
      </c>
      <c r="B74" s="7" t="n">
        <v>1</v>
      </c>
      <c r="C74" s="3" t="inlineStr">
        <is>
          <t>māo</t>
        </is>
      </c>
      <c r="D74" s="3" t="n">
        <v>1</v>
      </c>
      <c r="E74" s="3" t="inlineStr">
        <is>
          <t>M</t>
        </is>
      </c>
      <c r="F74" s="3" t="inlineStr">
        <is>
          <t>AO</t>
        </is>
      </c>
      <c r="G74" s="3">
        <f>IFERROR(IF(INDEX('HMM Actors'!$B:$B,MATCH(E74,'HMM Actors'!$A:$A,0))="","(not assigned)",INDEX('HMM Actors'!$B:$B,MATCH(E74,'HMM Actors'!$A:$A,0))),"(not assigned)")</f>
        <v/>
      </c>
      <c r="H74" s="3">
        <f>IFERROR(IF(INDEX('HMM Locations'!$B:$B,MATCH(F74,'HMM Locations'!$A:$A,0))="","(not assigned)",INDEX('HMM Locations'!$B:$B,MATCH(F74,'HMM Locations'!$A:$A,0))),"(not assigned)")</f>
        <v/>
      </c>
      <c r="I74" s="3">
        <f>IFERROR(IF(INDEX('HMM Locations'!$C:$G,MATCH(F74,'HMM Locations'!$A:$A,0),D74)="","(not assigned)",INDEX('HMM Locations'!$C:$G,MATCH(F74,'HMM Locations'!$A:$A,0),D74)),"(not assigned)")</f>
        <v/>
      </c>
      <c r="J74" s="3">
        <f>IF(COUNTIF(G74:I74,"(not assigned)")=0,"Ready","Needs grid entry")</f>
        <v/>
      </c>
      <c r="K74" s="3" t="inlineStr"/>
      <c r="L74" s="3" t="inlineStr">
        <is>
          <t>猫、熊猫</t>
        </is>
      </c>
    </row>
    <row r="75" ht="15.75" customHeight="1" s="9">
      <c r="A75" s="7" t="inlineStr">
        <is>
          <t>么</t>
        </is>
      </c>
      <c r="B75" s="7" t="n">
        <v>1</v>
      </c>
      <c r="C75" s="3" t="inlineStr">
        <is>
          <t>me</t>
        </is>
      </c>
      <c r="D75" s="3" t="n">
        <v>5</v>
      </c>
      <c r="E75" s="3" t="inlineStr">
        <is>
          <t>M</t>
        </is>
      </c>
      <c r="F75" s="3" t="inlineStr">
        <is>
          <t>E</t>
        </is>
      </c>
      <c r="G75" s="3">
        <f>IFERROR(IF(INDEX('HMM Actors'!$B:$B,MATCH(E75,'HMM Actors'!$A:$A,0))="","(not assigned)",INDEX('HMM Actors'!$B:$B,MATCH(E75,'HMM Actors'!$A:$A,0))),"(not assigned)")</f>
        <v/>
      </c>
      <c r="H75" s="3">
        <f>IFERROR(IF(INDEX('HMM Locations'!$B:$B,MATCH(F75,'HMM Locations'!$A:$A,0))="","(not assigned)",INDEX('HMM Locations'!$B:$B,MATCH(F75,'HMM Locations'!$A:$A,0))),"(not assigned)")</f>
        <v/>
      </c>
      <c r="I75" s="3">
        <f>IFERROR(IF(INDEX('HMM Locations'!$C:$G,MATCH(F75,'HMM Locations'!$A:$A,0),D75)="","(not assigned)",INDEX('HMM Locations'!$C:$G,MATCH(F75,'HMM Locations'!$A:$A,0),D75)),"(not assigned)")</f>
        <v/>
      </c>
      <c r="J75" s="3">
        <f>IF(COUNTIF(G75:I75,"(not assigned)")=0,"Ready","Needs grid entry")</f>
        <v/>
      </c>
      <c r="K75" s="3" t="inlineStr"/>
      <c r="L75" s="3" t="inlineStr">
        <is>
          <t>什么、怎么、怎么样、为什么</t>
        </is>
      </c>
    </row>
    <row r="76" ht="15.75" customHeight="1" s="9">
      <c r="A76" s="7" t="inlineStr">
        <is>
          <t>没</t>
        </is>
      </c>
      <c r="B76" s="7" t="n">
        <v>1</v>
      </c>
      <c r="C76" s="3" t="inlineStr">
        <is>
          <t>méi</t>
        </is>
      </c>
      <c r="D76" s="3" t="n">
        <v>2</v>
      </c>
      <c r="E76" s="3" t="inlineStr">
        <is>
          <t>M</t>
        </is>
      </c>
      <c r="F76" s="3" t="inlineStr">
        <is>
          <t>EI</t>
        </is>
      </c>
      <c r="G76" s="3">
        <f>IFERROR(IF(INDEX('HMM Actors'!$B:$B,MATCH(E76,'HMM Actors'!$A:$A,0))="","(not assigned)",INDEX('HMM Actors'!$B:$B,MATCH(E76,'HMM Actors'!$A:$A,0))),"(not assigned)")</f>
        <v/>
      </c>
      <c r="H76" s="3">
        <f>IFERROR(IF(INDEX('HMM Locations'!$B:$B,MATCH(F76,'HMM Locations'!$A:$A,0))="","(not assigned)",INDEX('HMM Locations'!$B:$B,MATCH(F76,'HMM Locations'!$A:$A,0))),"(not assigned)")</f>
        <v/>
      </c>
      <c r="I76" s="3">
        <f>IFERROR(IF(INDEX('HMM Locations'!$C:$G,MATCH(F76,'HMM Locations'!$A:$A,0),D76)="","(not assigned)",INDEX('HMM Locations'!$C:$G,MATCH(F76,'HMM Locations'!$A:$A,0),D76)),"(not assigned)")</f>
        <v/>
      </c>
      <c r="J76" s="3">
        <f>IF(COUNTIF(G76:I76,"(not assigned)")=0,"Ready","Needs grid entry")</f>
        <v/>
      </c>
      <c r="K76" s="3" t="inlineStr"/>
      <c r="L76" s="3" t="inlineStr">
        <is>
          <t>没关系、没有</t>
        </is>
      </c>
    </row>
    <row r="77" ht="15.75" customHeight="1" s="9">
      <c r="A77" s="7" t="inlineStr">
        <is>
          <t>们</t>
        </is>
      </c>
      <c r="B77" s="7" t="n">
        <v>1</v>
      </c>
      <c r="C77" s="3" t="inlineStr">
        <is>
          <t>men</t>
        </is>
      </c>
      <c r="D77" s="3" t="n">
        <v>5</v>
      </c>
      <c r="E77" s="3" t="inlineStr">
        <is>
          <t>M</t>
        </is>
      </c>
      <c r="F77" s="3" t="inlineStr">
        <is>
          <t>(E)N</t>
        </is>
      </c>
      <c r="G77" s="3">
        <f>IFERROR(IF(INDEX('HMM Actors'!$B:$B,MATCH(E77,'HMM Actors'!$A:$A,0))="","(not assigned)",INDEX('HMM Actors'!$B:$B,MATCH(E77,'HMM Actors'!$A:$A,0))),"(not assigned)")</f>
        <v/>
      </c>
      <c r="H77" s="3">
        <f>IFERROR(IF(INDEX('HMM Locations'!$B:$B,MATCH(F77,'HMM Locations'!$A:$A,0))="","(not assigned)",INDEX('HMM Locations'!$B:$B,MATCH(F77,'HMM Locations'!$A:$A,0))),"(not assigned)")</f>
        <v/>
      </c>
      <c r="I77" s="3">
        <f>IFERROR(IF(INDEX('HMM Locations'!$C:$G,MATCH(F77,'HMM Locations'!$A:$A,0),D77)="","(not assigned)",INDEX('HMM Locations'!$C:$G,MATCH(F77,'HMM Locations'!$A:$A,0),D77)),"(not assigned)")</f>
        <v/>
      </c>
      <c r="J77" s="3">
        <f>IF(COUNTIF(G77:I77,"(not assigned)")=0,"Ready","Needs grid entry")</f>
        <v/>
      </c>
      <c r="K77" s="3" t="inlineStr"/>
      <c r="L77" s="3" t="inlineStr">
        <is>
          <t>我们</t>
        </is>
      </c>
    </row>
    <row r="78" ht="15.75" customHeight="1" s="9">
      <c r="A78" s="7" t="inlineStr">
        <is>
          <t>米</t>
        </is>
      </c>
      <c r="B78" s="7" t="n">
        <v>1</v>
      </c>
      <c r="C78" s="3" t="inlineStr">
        <is>
          <t>mǐ</t>
        </is>
      </c>
      <c r="D78" s="3" t="n">
        <v>3</v>
      </c>
      <c r="E78" s="3" t="inlineStr">
        <is>
          <t>M</t>
        </is>
      </c>
      <c r="F78" s="3" t="inlineStr">
        <is>
          <t>I</t>
        </is>
      </c>
      <c r="G78" s="3">
        <f>IFERROR(IF(INDEX('HMM Actors'!$B:$B,MATCH(E78,'HMM Actors'!$A:$A,0))="","(not assigned)",INDEX('HMM Actors'!$B:$B,MATCH(E78,'HMM Actors'!$A:$A,0))),"(not assigned)")</f>
        <v/>
      </c>
      <c r="H78" s="3">
        <f>IFERROR(IF(INDEX('HMM Locations'!$B:$B,MATCH(F78,'HMM Locations'!$A:$A,0))="","(not assigned)",INDEX('HMM Locations'!$B:$B,MATCH(F78,'HMM Locations'!$A:$A,0))),"(not assigned)")</f>
        <v/>
      </c>
      <c r="I78" s="3">
        <f>IFERROR(IF(INDEX('HMM Locations'!$C:$G,MATCH(F78,'HMM Locations'!$A:$A,0),D78)="","(not assigned)",INDEX('HMM Locations'!$C:$G,MATCH(F78,'HMM Locations'!$A:$A,0),D78)),"(not assigned)")</f>
        <v/>
      </c>
      <c r="J78" s="3">
        <f>IF(COUNTIF(G78:I78,"(not assigned)")=0,"Ready","Needs grid entry")</f>
        <v/>
      </c>
      <c r="K78" s="3" t="inlineStr"/>
      <c r="L78" s="3" t="inlineStr">
        <is>
          <t>米饭、米</t>
        </is>
      </c>
    </row>
    <row r="79" ht="15.75" customHeight="1" s="9">
      <c r="A79" s="7" t="inlineStr">
        <is>
          <t>面</t>
        </is>
      </c>
      <c r="B79" s="7" t="n">
        <v>1</v>
      </c>
      <c r="C79" s="3" t="inlineStr">
        <is>
          <t>miàn</t>
        </is>
      </c>
      <c r="D79" s="3" t="n">
        <v>4</v>
      </c>
      <c r="E79" s="3" t="inlineStr">
        <is>
          <t>M</t>
        </is>
      </c>
      <c r="F79" s="3" t="inlineStr">
        <is>
          <t>IAN</t>
        </is>
      </c>
      <c r="G79" s="3">
        <f>IFERROR(IF(INDEX('HMM Actors'!$B:$B,MATCH(E79,'HMM Actors'!$A:$A,0))="","(not assigned)",INDEX('HMM Actors'!$B:$B,MATCH(E79,'HMM Actors'!$A:$A,0))),"(not assigned)")</f>
        <v/>
      </c>
      <c r="H79" s="3">
        <f>IFERROR(IF(INDEX('HMM Locations'!$B:$B,MATCH(F79,'HMM Locations'!$A:$A,0))="","(not assigned)",INDEX('HMM Locations'!$B:$B,MATCH(F79,'HMM Locations'!$A:$A,0))),"(not assigned)")</f>
        <v/>
      </c>
      <c r="I79" s="3">
        <f>IFERROR(IF(INDEX('HMM Locations'!$C:$G,MATCH(F79,'HMM Locations'!$A:$A,0),D79)="","(not assigned)",INDEX('HMM Locations'!$C:$G,MATCH(F79,'HMM Locations'!$A:$A,0),D79)),"(not assigned)")</f>
        <v/>
      </c>
      <c r="J79" s="3">
        <f>IF(COUNTIF(G79:I79,"(not assigned)")=0,"Ready","Needs grid entry")</f>
        <v/>
      </c>
      <c r="K79" s="3" t="inlineStr"/>
      <c r="L79" s="3" t="inlineStr">
        <is>
          <t>后面、前面、面条、见面</t>
        </is>
      </c>
    </row>
    <row r="80" ht="15.75" customHeight="1" s="9">
      <c r="A80" s="7" t="inlineStr">
        <is>
          <t>名</t>
        </is>
      </c>
      <c r="B80" s="7" t="n">
        <v>1</v>
      </c>
      <c r="C80" s="3" t="inlineStr">
        <is>
          <t>míng</t>
        </is>
      </c>
      <c r="D80" s="3" t="n">
        <v>2</v>
      </c>
      <c r="E80" s="3" t="inlineStr">
        <is>
          <t>M</t>
        </is>
      </c>
      <c r="F80" s="3" t="inlineStr">
        <is>
          <t>ING</t>
        </is>
      </c>
      <c r="G80" s="3">
        <f>IFERROR(IF(INDEX('HMM Actors'!$B:$B,MATCH(E80,'HMM Actors'!$A:$A,0))="","(not assigned)",INDEX('HMM Actors'!$B:$B,MATCH(E80,'HMM Actors'!$A:$A,0))),"(not assigned)")</f>
        <v/>
      </c>
      <c r="H80" s="3">
        <f>IFERROR(IF(INDEX('HMM Locations'!$B:$B,MATCH(F80,'HMM Locations'!$A:$A,0))="","(not assigned)",INDEX('HMM Locations'!$B:$B,MATCH(F80,'HMM Locations'!$A:$A,0))),"(not assigned)")</f>
        <v/>
      </c>
      <c r="I80" s="3">
        <f>IFERROR(IF(INDEX('HMM Locations'!$C:$G,MATCH(F80,'HMM Locations'!$A:$A,0),D80)="","(not assigned)",INDEX('HMM Locations'!$C:$G,MATCH(F80,'HMM Locations'!$A:$A,0),D80)),"(not assigned)")</f>
        <v/>
      </c>
      <c r="J80" s="3">
        <f>IF(COUNTIF(G80:I80,"(not assigned)")=0,"Ready","Needs grid entry")</f>
        <v/>
      </c>
      <c r="K80" s="3" t="inlineStr"/>
      <c r="L80" s="3" t="inlineStr">
        <is>
          <t>名字、有名</t>
        </is>
      </c>
    </row>
    <row r="81" ht="15.75" customHeight="1" s="9">
      <c r="A81" s="7" t="inlineStr">
        <is>
          <t>明</t>
        </is>
      </c>
      <c r="B81" s="7" t="n">
        <v>1</v>
      </c>
      <c r="C81" s="3" t="inlineStr">
        <is>
          <t>míng</t>
        </is>
      </c>
      <c r="D81" s="3" t="n">
        <v>2</v>
      </c>
      <c r="E81" s="3" t="inlineStr">
        <is>
          <t>M</t>
        </is>
      </c>
      <c r="F81" s="3" t="inlineStr">
        <is>
          <t>ING</t>
        </is>
      </c>
      <c r="G81" s="3">
        <f>IFERROR(IF(INDEX('HMM Actors'!$B:$B,MATCH(E81,'HMM Actors'!$A:$A,0))="","(not assigned)",INDEX('HMM Actors'!$B:$B,MATCH(E81,'HMM Actors'!$A:$A,0))),"(not assigned)")</f>
        <v/>
      </c>
      <c r="H81" s="3">
        <f>IFERROR(IF(INDEX('HMM Locations'!$B:$B,MATCH(F81,'HMM Locations'!$A:$A,0))="","(not assigned)",INDEX('HMM Locations'!$B:$B,MATCH(F81,'HMM Locations'!$A:$A,0))),"(not assigned)")</f>
        <v/>
      </c>
      <c r="I81" s="3">
        <f>IFERROR(IF(INDEX('HMM Locations'!$C:$G,MATCH(F81,'HMM Locations'!$A:$A,0),D81)="","(not assigned)",INDEX('HMM Locations'!$C:$G,MATCH(F81,'HMM Locations'!$A:$A,0),D81)),"(not assigned)")</f>
        <v/>
      </c>
      <c r="J81" s="3">
        <f>IF(COUNTIF(G81:I81,"(not assigned)")=0,"Ready","Needs grid entry")</f>
        <v/>
      </c>
      <c r="K81" s="3" t="inlineStr"/>
      <c r="L81" s="3" t="inlineStr">
        <is>
          <t>明天、聪明、明白</t>
        </is>
      </c>
    </row>
    <row r="82" ht="15.75" customHeight="1" s="9">
      <c r="A82" s="7" t="inlineStr">
        <is>
          <t>哪</t>
        </is>
      </c>
      <c r="B82" s="7" t="n">
        <v>1</v>
      </c>
      <c r="C82" s="3" t="inlineStr">
        <is>
          <t>nǎ</t>
        </is>
      </c>
      <c r="D82" s="3" t="n">
        <v>3</v>
      </c>
      <c r="E82" s="3" t="inlineStr">
        <is>
          <t>N</t>
        </is>
      </c>
      <c r="F82" s="3" t="inlineStr">
        <is>
          <t>A</t>
        </is>
      </c>
      <c r="G82" s="3">
        <f>IFERROR(IF(INDEX('HMM Actors'!$B:$B,MATCH(E82,'HMM Actors'!$A:$A,0))="","(not assigned)",INDEX('HMM Actors'!$B:$B,MATCH(E82,'HMM Actors'!$A:$A,0))),"(not assigned)")</f>
        <v/>
      </c>
      <c r="H82" s="3">
        <f>IFERROR(IF(INDEX('HMM Locations'!$B:$B,MATCH(F82,'HMM Locations'!$A:$A,0))="","(not assigned)",INDEX('HMM Locations'!$B:$B,MATCH(F82,'HMM Locations'!$A:$A,0))),"(not assigned)")</f>
        <v/>
      </c>
      <c r="I82" s="3">
        <f>IFERROR(IF(INDEX('HMM Locations'!$C:$G,MATCH(F82,'HMM Locations'!$A:$A,0),D82)="","(not assigned)",INDEX('HMM Locations'!$C:$G,MATCH(F82,'HMM Locations'!$A:$A,0),D82)),"(not assigned)")</f>
        <v/>
      </c>
      <c r="J82" s="3">
        <f>IF(COUNTIF(G82:I82,"(not assigned)")=0,"Ready","Needs grid entry")</f>
        <v/>
      </c>
      <c r="K82" s="3" t="inlineStr"/>
      <c r="L82" s="3" t="inlineStr">
        <is>
          <t>哪、哪儿</t>
        </is>
      </c>
    </row>
    <row r="83" ht="15.75" customHeight="1" s="9">
      <c r="A83" s="7" t="inlineStr">
        <is>
          <t>那</t>
        </is>
      </c>
      <c r="B83" s="7" t="n">
        <v>1</v>
      </c>
      <c r="C83" s="3" t="inlineStr">
        <is>
          <t>nà</t>
        </is>
      </c>
      <c r="D83" s="3" t="n">
        <v>4</v>
      </c>
      <c r="E83" s="3" t="inlineStr">
        <is>
          <t>N</t>
        </is>
      </c>
      <c r="F83" s="3" t="inlineStr">
        <is>
          <t>A</t>
        </is>
      </c>
      <c r="G83" s="3">
        <f>IFERROR(IF(INDEX('HMM Actors'!$B:$B,MATCH(E83,'HMM Actors'!$A:$A,0))="","(not assigned)",INDEX('HMM Actors'!$B:$B,MATCH(E83,'HMM Actors'!$A:$A,0))),"(not assigned)")</f>
        <v/>
      </c>
      <c r="H83" s="3">
        <f>IFERROR(IF(INDEX('HMM Locations'!$B:$B,MATCH(F83,'HMM Locations'!$A:$A,0))="","(not assigned)",INDEX('HMM Locations'!$B:$B,MATCH(F83,'HMM Locations'!$A:$A,0))),"(not assigned)")</f>
        <v/>
      </c>
      <c r="I83" s="3">
        <f>IFERROR(IF(INDEX('HMM Locations'!$C:$G,MATCH(F83,'HMM Locations'!$A:$A,0),D83)="","(not assigned)",INDEX('HMM Locations'!$C:$G,MATCH(F83,'HMM Locations'!$A:$A,0),D83)),"(not assigned)")</f>
        <v/>
      </c>
      <c r="J83" s="3">
        <f>IF(COUNTIF(G83:I83,"(not assigned)")=0,"Ready","Needs grid entry")</f>
        <v/>
      </c>
      <c r="K83" s="3" t="inlineStr"/>
      <c r="L83" s="3" t="inlineStr">
        <is>
          <t>那</t>
        </is>
      </c>
    </row>
    <row r="84" ht="15.75" customHeight="1" s="9">
      <c r="A84" s="7" t="inlineStr">
        <is>
          <t>脑</t>
        </is>
      </c>
      <c r="B84" s="7" t="n">
        <v>1</v>
      </c>
      <c r="C84" s="3" t="inlineStr">
        <is>
          <t>nǎo</t>
        </is>
      </c>
      <c r="D84" s="3" t="n">
        <v>3</v>
      </c>
      <c r="E84" s="3" t="inlineStr">
        <is>
          <t>N</t>
        </is>
      </c>
      <c r="F84" s="3" t="inlineStr">
        <is>
          <t>AO</t>
        </is>
      </c>
      <c r="G84" s="3">
        <f>IFERROR(IF(INDEX('HMM Actors'!$B:$B,MATCH(E84,'HMM Actors'!$A:$A,0))="","(not assigned)",INDEX('HMM Actors'!$B:$B,MATCH(E84,'HMM Actors'!$A:$A,0))),"(not assigned)")</f>
        <v/>
      </c>
      <c r="H84" s="3">
        <f>IFERROR(IF(INDEX('HMM Locations'!$B:$B,MATCH(F84,'HMM Locations'!$A:$A,0))="","(not assigned)",INDEX('HMM Locations'!$B:$B,MATCH(F84,'HMM Locations'!$A:$A,0))),"(not assigned)")</f>
        <v/>
      </c>
      <c r="I84" s="3">
        <f>IFERROR(IF(INDEX('HMM Locations'!$C:$G,MATCH(F84,'HMM Locations'!$A:$A,0),D84)="","(not assigned)",INDEX('HMM Locations'!$C:$G,MATCH(F84,'HMM Locations'!$A:$A,0),D84)),"(not assigned)")</f>
        <v/>
      </c>
      <c r="J84" s="3">
        <f>IF(COUNTIF(G84:I84,"(not assigned)")=0,"Ready","Needs grid entry")</f>
        <v/>
      </c>
      <c r="K84" s="3" t="inlineStr"/>
      <c r="L84" s="3" t="inlineStr">
        <is>
          <t>电脑</t>
        </is>
      </c>
    </row>
    <row r="85" ht="15.75" customHeight="1" s="9">
      <c r="A85" s="7" t="inlineStr">
        <is>
          <t>呢</t>
        </is>
      </c>
      <c r="B85" s="7" t="n">
        <v>1</v>
      </c>
      <c r="C85" s="3" t="inlineStr">
        <is>
          <t>ne</t>
        </is>
      </c>
      <c r="D85" s="3" t="n">
        <v>5</v>
      </c>
      <c r="E85" s="3" t="inlineStr">
        <is>
          <t>N</t>
        </is>
      </c>
      <c r="F85" s="3" t="inlineStr">
        <is>
          <t>E</t>
        </is>
      </c>
      <c r="G85" s="3">
        <f>IFERROR(IF(INDEX('HMM Actors'!$B:$B,MATCH(E85,'HMM Actors'!$A:$A,0))="","(not assigned)",INDEX('HMM Actors'!$B:$B,MATCH(E85,'HMM Actors'!$A:$A,0))),"(not assigned)")</f>
        <v/>
      </c>
      <c r="H85" s="3">
        <f>IFERROR(IF(INDEX('HMM Locations'!$B:$B,MATCH(F85,'HMM Locations'!$A:$A,0))="","(not assigned)",INDEX('HMM Locations'!$B:$B,MATCH(F85,'HMM Locations'!$A:$A,0))),"(not assigned)")</f>
        <v/>
      </c>
      <c r="I85" s="3">
        <f>IFERROR(IF(INDEX('HMM Locations'!$C:$G,MATCH(F85,'HMM Locations'!$A:$A,0),D85)="","(not assigned)",INDEX('HMM Locations'!$C:$G,MATCH(F85,'HMM Locations'!$A:$A,0),D85)),"(not assigned)")</f>
        <v/>
      </c>
      <c r="J85" s="3">
        <f>IF(COUNTIF(G85:I85,"(not assigned)")=0,"Ready","Needs grid entry")</f>
        <v/>
      </c>
      <c r="K85" s="3" t="inlineStr"/>
      <c r="L85" s="3" t="inlineStr">
        <is>
          <t>呢</t>
        </is>
      </c>
    </row>
    <row r="86" ht="15.75" customHeight="1" s="9">
      <c r="A86" s="7" t="inlineStr">
        <is>
          <t>能</t>
        </is>
      </c>
      <c r="B86" s="7" t="n">
        <v>1</v>
      </c>
      <c r="C86" s="3" t="inlineStr">
        <is>
          <t>néng</t>
        </is>
      </c>
      <c r="D86" s="3" t="n">
        <v>2</v>
      </c>
      <c r="E86" s="3" t="inlineStr">
        <is>
          <t>N</t>
        </is>
      </c>
      <c r="F86" s="3" t="inlineStr">
        <is>
          <t>(E)NG</t>
        </is>
      </c>
      <c r="G86" s="3">
        <f>IFERROR(IF(INDEX('HMM Actors'!$B:$B,MATCH(E86,'HMM Actors'!$A:$A,0))="","(not assigned)",INDEX('HMM Actors'!$B:$B,MATCH(E86,'HMM Actors'!$A:$A,0))),"(not assigned)")</f>
        <v/>
      </c>
      <c r="H86" s="3">
        <f>IFERROR(IF(INDEX('HMM Locations'!$B:$B,MATCH(F86,'HMM Locations'!$A:$A,0))="","(not assigned)",INDEX('HMM Locations'!$B:$B,MATCH(F86,'HMM Locations'!$A:$A,0))),"(not assigned)")</f>
        <v/>
      </c>
      <c r="I86" s="3">
        <f>IFERROR(IF(INDEX('HMM Locations'!$C:$G,MATCH(F86,'HMM Locations'!$A:$A,0),D86)="","(not assigned)",INDEX('HMM Locations'!$C:$G,MATCH(F86,'HMM Locations'!$A:$A,0),D86)),"(not assigned)")</f>
        <v/>
      </c>
      <c r="J86" s="3">
        <f>IF(COUNTIF(G86:I86,"(not assigned)")=0,"Ready","Needs grid entry")</f>
        <v/>
      </c>
      <c r="K86" s="3" t="inlineStr"/>
      <c r="L86" s="3" t="inlineStr">
        <is>
          <t>能、可能</t>
        </is>
      </c>
    </row>
    <row r="87" ht="15.75" customHeight="1" s="9">
      <c r="A87" s="7" t="inlineStr">
        <is>
          <t>你</t>
        </is>
      </c>
      <c r="B87" s="7" t="n">
        <v>1</v>
      </c>
      <c r="C87" s="3" t="inlineStr">
        <is>
          <t>nǐ</t>
        </is>
      </c>
      <c r="D87" s="3" t="n">
        <v>3</v>
      </c>
      <c r="E87" s="3" t="inlineStr">
        <is>
          <t>N</t>
        </is>
      </c>
      <c r="F87" s="3" t="inlineStr">
        <is>
          <t>I</t>
        </is>
      </c>
      <c r="G87" s="3">
        <f>IFERROR(IF(INDEX('HMM Actors'!$B:$B,MATCH(E87,'HMM Actors'!$A:$A,0))="","(not assigned)",INDEX('HMM Actors'!$B:$B,MATCH(E87,'HMM Actors'!$A:$A,0))),"(not assigned)")</f>
        <v/>
      </c>
      <c r="H87" s="3">
        <f>IFERROR(IF(INDEX('HMM Locations'!$B:$B,MATCH(F87,'HMM Locations'!$A:$A,0))="","(not assigned)",INDEX('HMM Locations'!$B:$B,MATCH(F87,'HMM Locations'!$A:$A,0))),"(not assigned)")</f>
        <v/>
      </c>
      <c r="I87" s="3">
        <f>IFERROR(IF(INDEX('HMM Locations'!$C:$G,MATCH(F87,'HMM Locations'!$A:$A,0),D87)="","(not assigned)",INDEX('HMM Locations'!$C:$G,MATCH(F87,'HMM Locations'!$A:$A,0),D87)),"(not assigned)")</f>
        <v/>
      </c>
      <c r="J87" s="3">
        <f>IF(COUNTIF(G87:I87,"(not assigned)")=0,"Ready","Needs grid entry")</f>
        <v/>
      </c>
      <c r="K87" s="3" t="inlineStr"/>
      <c r="L87" s="3" t="inlineStr">
        <is>
          <t>你</t>
        </is>
      </c>
    </row>
    <row r="88" ht="15.75" customHeight="1" s="9">
      <c r="A88" s="7" t="inlineStr">
        <is>
          <t>年</t>
        </is>
      </c>
      <c r="B88" s="7" t="n">
        <v>1</v>
      </c>
      <c r="C88" s="3" t="inlineStr">
        <is>
          <t>nián</t>
        </is>
      </c>
      <c r="D88" s="3" t="n">
        <v>2</v>
      </c>
      <c r="E88" s="3" t="inlineStr">
        <is>
          <t>N</t>
        </is>
      </c>
      <c r="F88" s="3" t="inlineStr">
        <is>
          <t>IAN</t>
        </is>
      </c>
      <c r="G88" s="3">
        <f>IFERROR(IF(INDEX('HMM Actors'!$B:$B,MATCH(E88,'HMM Actors'!$A:$A,0))="","(not assigned)",INDEX('HMM Actors'!$B:$B,MATCH(E88,'HMM Actors'!$A:$A,0))),"(not assigned)")</f>
        <v/>
      </c>
      <c r="H88" s="3">
        <f>IFERROR(IF(INDEX('HMM Locations'!$B:$B,MATCH(F88,'HMM Locations'!$A:$A,0))="","(not assigned)",INDEX('HMM Locations'!$B:$B,MATCH(F88,'HMM Locations'!$A:$A,0))),"(not assigned)")</f>
        <v/>
      </c>
      <c r="I88" s="3">
        <f>IFERROR(IF(INDEX('HMM Locations'!$C:$G,MATCH(F88,'HMM Locations'!$A:$A,0),D88)="","(not assigned)",INDEX('HMM Locations'!$C:$G,MATCH(F88,'HMM Locations'!$A:$A,0),D88)),"(not assigned)")</f>
        <v/>
      </c>
      <c r="J88" s="3">
        <f>IF(COUNTIF(G88:I88,"(not assigned)")=0,"Ready","Needs grid entry")</f>
        <v/>
      </c>
      <c r="K88" s="3" t="inlineStr"/>
      <c r="L88" s="3" t="inlineStr">
        <is>
          <t>年、去年、年级、年轻</t>
        </is>
      </c>
    </row>
    <row r="89" ht="15.75" customHeight="1" s="9">
      <c r="A89" s="7" t="inlineStr">
        <is>
          <t>女</t>
        </is>
      </c>
      <c r="B89" s="7" t="n">
        <v>1</v>
      </c>
      <c r="C89" s="3" t="inlineStr">
        <is>
          <t>nǚ</t>
        </is>
      </c>
      <c r="D89" s="3" t="n">
        <v>3</v>
      </c>
      <c r="E89" s="3" t="inlineStr">
        <is>
          <t>N</t>
        </is>
      </c>
      <c r="F89" s="3" t="inlineStr">
        <is>
          <t>Ü</t>
        </is>
      </c>
      <c r="G89" s="3">
        <f>IFERROR(IF(INDEX('HMM Actors'!$B:$B,MATCH(E89,'HMM Actors'!$A:$A,0))="","(not assigned)",INDEX('HMM Actors'!$B:$B,MATCH(E89,'HMM Actors'!$A:$A,0))),"(not assigned)")</f>
        <v/>
      </c>
      <c r="H89" s="3">
        <f>IFERROR(IF(INDEX('HMM Locations'!$B:$B,MATCH(F89,'HMM Locations'!$A:$A,0))="","(not assigned)",INDEX('HMM Locations'!$B:$B,MATCH(F89,'HMM Locations'!$A:$A,0))),"(not assigned)")</f>
        <v/>
      </c>
      <c r="I89" s="3">
        <f>IFERROR(IF(INDEX('HMM Locations'!$C:$G,MATCH(F89,'HMM Locations'!$A:$A,0),D89)="","(not assigned)",INDEX('HMM Locations'!$C:$G,MATCH(F89,'HMM Locations'!$A:$A,0),D89)),"(not assigned)")</f>
        <v/>
      </c>
      <c r="J89" s="3">
        <f>IF(COUNTIF(G89:I89,"(not assigned)")=0,"Ready","Needs grid entry")</f>
        <v/>
      </c>
      <c r="K89" s="3" t="inlineStr"/>
      <c r="L89" s="3" t="inlineStr">
        <is>
          <t>女儿、女</t>
        </is>
      </c>
    </row>
    <row r="90" ht="15.75" customHeight="1" s="9">
      <c r="A90" s="7" t="inlineStr">
        <is>
          <t>朋</t>
        </is>
      </c>
      <c r="B90" s="7" t="n">
        <v>1</v>
      </c>
      <c r="C90" s="3" t="inlineStr">
        <is>
          <t>péng</t>
        </is>
      </c>
      <c r="D90" s="3" t="n">
        <v>2</v>
      </c>
      <c r="E90" s="3" t="inlineStr">
        <is>
          <t>P</t>
        </is>
      </c>
      <c r="F90" s="3" t="inlineStr">
        <is>
          <t>(E)NG</t>
        </is>
      </c>
      <c r="G90" s="3">
        <f>IFERROR(IF(INDEX('HMM Actors'!$B:$B,MATCH(E90,'HMM Actors'!$A:$A,0))="","(not assigned)",INDEX('HMM Actors'!$B:$B,MATCH(E90,'HMM Actors'!$A:$A,0))),"(not assigned)")</f>
        <v/>
      </c>
      <c r="H90" s="3">
        <f>IFERROR(IF(INDEX('HMM Locations'!$B:$B,MATCH(F90,'HMM Locations'!$A:$A,0))="","(not assigned)",INDEX('HMM Locations'!$B:$B,MATCH(F90,'HMM Locations'!$A:$A,0))),"(not assigned)")</f>
        <v/>
      </c>
      <c r="I90" s="3">
        <f>IFERROR(IF(INDEX('HMM Locations'!$C:$G,MATCH(F90,'HMM Locations'!$A:$A,0),D90)="","(not assigned)",INDEX('HMM Locations'!$C:$G,MATCH(F90,'HMM Locations'!$A:$A,0),D90)),"(not assigned)")</f>
        <v/>
      </c>
      <c r="J90" s="3">
        <f>IF(COUNTIF(G90:I90,"(not assigned)")=0,"Ready","Needs grid entry")</f>
        <v/>
      </c>
      <c r="K90" s="3" t="inlineStr"/>
      <c r="L90" s="3" t="inlineStr">
        <is>
          <t>朋友</t>
        </is>
      </c>
    </row>
    <row r="91" ht="15.75" customHeight="1" s="9">
      <c r="A91" s="7" t="inlineStr">
        <is>
          <t>漂</t>
        </is>
      </c>
      <c r="B91" s="7" t="n">
        <v>1</v>
      </c>
      <c r="C91" s="3" t="inlineStr">
        <is>
          <t>piào</t>
        </is>
      </c>
      <c r="D91" s="3" t="n">
        <v>4</v>
      </c>
      <c r="E91" s="3" t="inlineStr">
        <is>
          <t>P</t>
        </is>
      </c>
      <c r="F91" s="3" t="inlineStr">
        <is>
          <t>IAO</t>
        </is>
      </c>
      <c r="G91" s="3">
        <f>IFERROR(IF(INDEX('HMM Actors'!$B:$B,MATCH(E91,'HMM Actors'!$A:$A,0))="","(not assigned)",INDEX('HMM Actors'!$B:$B,MATCH(E91,'HMM Actors'!$A:$A,0))),"(not assigned)")</f>
        <v/>
      </c>
      <c r="H91" s="3">
        <f>IFERROR(IF(INDEX('HMM Locations'!$B:$B,MATCH(F91,'HMM Locations'!$A:$A,0))="","(not assigned)",INDEX('HMM Locations'!$B:$B,MATCH(F91,'HMM Locations'!$A:$A,0))),"(not assigned)")</f>
        <v/>
      </c>
      <c r="I91" s="3">
        <f>IFERROR(IF(INDEX('HMM Locations'!$C:$G,MATCH(F91,'HMM Locations'!$A:$A,0),D91)="","(not assigned)",INDEX('HMM Locations'!$C:$G,MATCH(F91,'HMM Locations'!$A:$A,0),D91)),"(not assigned)")</f>
        <v/>
      </c>
      <c r="J91" s="3">
        <f>IF(COUNTIF(G91:I91,"(not assigned)")=0,"Ready","Needs grid entry")</f>
        <v/>
      </c>
      <c r="K91" s="3" t="inlineStr"/>
      <c r="L91" s="3" t="inlineStr">
        <is>
          <t>漂亮</t>
        </is>
      </c>
    </row>
    <row r="92" ht="15.75" customHeight="1" s="9">
      <c r="A92" s="7" t="inlineStr">
        <is>
          <t>苹</t>
        </is>
      </c>
      <c r="B92" s="7" t="n">
        <v>1</v>
      </c>
      <c r="C92" s="3" t="inlineStr">
        <is>
          <t>píng</t>
        </is>
      </c>
      <c r="D92" s="3" t="n">
        <v>2</v>
      </c>
      <c r="E92" s="3" t="inlineStr">
        <is>
          <t>P</t>
        </is>
      </c>
      <c r="F92" s="3" t="inlineStr">
        <is>
          <t>ING</t>
        </is>
      </c>
      <c r="G92" s="3">
        <f>IFERROR(IF(INDEX('HMM Actors'!$B:$B,MATCH(E92,'HMM Actors'!$A:$A,0))="","(not assigned)",INDEX('HMM Actors'!$B:$B,MATCH(E92,'HMM Actors'!$A:$A,0))),"(not assigned)")</f>
        <v/>
      </c>
      <c r="H92" s="3">
        <f>IFERROR(IF(INDEX('HMM Locations'!$B:$B,MATCH(F92,'HMM Locations'!$A:$A,0))="","(not assigned)",INDEX('HMM Locations'!$B:$B,MATCH(F92,'HMM Locations'!$A:$A,0))),"(not assigned)")</f>
        <v/>
      </c>
      <c r="I92" s="3">
        <f>IFERROR(IF(INDEX('HMM Locations'!$C:$G,MATCH(F92,'HMM Locations'!$A:$A,0),D92)="","(not assigned)",INDEX('HMM Locations'!$C:$G,MATCH(F92,'HMM Locations'!$A:$A,0),D92)),"(not assigned)")</f>
        <v/>
      </c>
      <c r="J92" s="3">
        <f>IF(COUNTIF(G92:I92,"(not assigned)")=0,"Ready","Needs grid entry")</f>
        <v/>
      </c>
      <c r="K92" s="3" t="inlineStr"/>
      <c r="L92" s="3" t="inlineStr">
        <is>
          <t>苹果</t>
        </is>
      </c>
    </row>
    <row r="93" ht="15.75" customHeight="1" s="9">
      <c r="A93" s="7" t="inlineStr">
        <is>
          <t>七</t>
        </is>
      </c>
      <c r="B93" s="7" t="n">
        <v>1</v>
      </c>
      <c r="C93" s="3" t="inlineStr">
        <is>
          <t>qī</t>
        </is>
      </c>
      <c r="D93" s="3" t="n">
        <v>1</v>
      </c>
      <c r="E93" s="3" t="inlineStr">
        <is>
          <t>Q</t>
        </is>
      </c>
      <c r="F93" s="3" t="inlineStr">
        <is>
          <t>I</t>
        </is>
      </c>
      <c r="G93" s="3">
        <f>IFERROR(IF(INDEX('HMM Actors'!$B:$B,MATCH(E93,'HMM Actors'!$A:$A,0))="","(not assigned)",INDEX('HMM Actors'!$B:$B,MATCH(E93,'HMM Actors'!$A:$A,0))),"(not assigned)")</f>
        <v/>
      </c>
      <c r="H93" s="3">
        <f>IFERROR(IF(INDEX('HMM Locations'!$B:$B,MATCH(F93,'HMM Locations'!$A:$A,0))="","(not assigned)",INDEX('HMM Locations'!$B:$B,MATCH(F93,'HMM Locations'!$A:$A,0))),"(not assigned)")</f>
        <v/>
      </c>
      <c r="I93" s="3">
        <f>IFERROR(IF(INDEX('HMM Locations'!$C:$G,MATCH(F93,'HMM Locations'!$A:$A,0),D93)="","(not assigned)",INDEX('HMM Locations'!$C:$G,MATCH(F93,'HMM Locations'!$A:$A,0),D93)),"(not assigned)")</f>
        <v/>
      </c>
      <c r="J93" s="3">
        <f>IF(COUNTIF(G93:I93,"(not assigned)")=0,"Ready","Needs grid entry")</f>
        <v/>
      </c>
      <c r="K93" s="3" t="inlineStr"/>
      <c r="L93" s="3" t="inlineStr">
        <is>
          <t>七</t>
        </is>
      </c>
    </row>
    <row r="94" ht="15.75" customHeight="1" s="9">
      <c r="A94" s="7" t="inlineStr">
        <is>
          <t>期</t>
        </is>
      </c>
      <c r="B94" s="7" t="n">
        <v>1</v>
      </c>
      <c r="C94" s="3" t="inlineStr">
        <is>
          <t>qī</t>
        </is>
      </c>
      <c r="D94" s="3" t="n">
        <v>1</v>
      </c>
      <c r="E94" s="3" t="inlineStr">
        <is>
          <t>Q</t>
        </is>
      </c>
      <c r="F94" s="3" t="inlineStr">
        <is>
          <t>I</t>
        </is>
      </c>
      <c r="G94" s="3">
        <f>IFERROR(IF(INDEX('HMM Actors'!$B:$B,MATCH(E94,'HMM Actors'!$A:$A,0))="","(not assigned)",INDEX('HMM Actors'!$B:$B,MATCH(E94,'HMM Actors'!$A:$A,0))),"(not assigned)")</f>
        <v/>
      </c>
      <c r="H94" s="3">
        <f>IFERROR(IF(INDEX('HMM Locations'!$B:$B,MATCH(F94,'HMM Locations'!$A:$A,0))="","(not assigned)",INDEX('HMM Locations'!$B:$B,MATCH(F94,'HMM Locations'!$A:$A,0))),"(not assigned)")</f>
        <v/>
      </c>
      <c r="I94" s="3">
        <f>IFERROR(IF(INDEX('HMM Locations'!$C:$G,MATCH(F94,'HMM Locations'!$A:$A,0),D94)="","(not assigned)",INDEX('HMM Locations'!$C:$G,MATCH(F94,'HMM Locations'!$A:$A,0),D94)),"(not assigned)")</f>
        <v/>
      </c>
      <c r="J94" s="3">
        <f>IF(COUNTIF(G94:I94,"(not assigned)")=0,"Ready","Needs grid entry")</f>
        <v/>
      </c>
      <c r="K94" s="3" t="inlineStr"/>
      <c r="L94" s="3" t="inlineStr">
        <is>
          <t>星期</t>
        </is>
      </c>
    </row>
    <row r="95" ht="15.75" customHeight="1" s="9">
      <c r="A95" s="7" t="inlineStr">
        <is>
          <t>起</t>
        </is>
      </c>
      <c r="B95" s="7" t="n">
        <v>1</v>
      </c>
      <c r="C95" s="3" t="inlineStr">
        <is>
          <t>qǐ</t>
        </is>
      </c>
      <c r="D95" s="3" t="n">
        <v>3</v>
      </c>
      <c r="E95" s="3" t="inlineStr">
        <is>
          <t>Q</t>
        </is>
      </c>
      <c r="F95" s="3" t="inlineStr">
        <is>
          <t>I</t>
        </is>
      </c>
      <c r="G95" s="3">
        <f>IFERROR(IF(INDEX('HMM Actors'!$B:$B,MATCH(E95,'HMM Actors'!$A:$A,0))="","(not assigned)",INDEX('HMM Actors'!$B:$B,MATCH(E95,'HMM Actors'!$A:$A,0))),"(not assigned)")</f>
        <v/>
      </c>
      <c r="H95" s="3">
        <f>IFERROR(IF(INDEX('HMM Locations'!$B:$B,MATCH(F95,'HMM Locations'!$A:$A,0))="","(not assigned)",INDEX('HMM Locations'!$B:$B,MATCH(F95,'HMM Locations'!$A:$A,0))),"(not assigned)")</f>
        <v/>
      </c>
      <c r="I95" s="3">
        <f>IFERROR(IF(INDEX('HMM Locations'!$C:$G,MATCH(F95,'HMM Locations'!$A:$A,0),D95)="","(not assigned)",INDEX('HMM Locations'!$C:$G,MATCH(F95,'HMM Locations'!$A:$A,0),D95)),"(not assigned)")</f>
        <v/>
      </c>
      <c r="J95" s="3">
        <f>IF(COUNTIF(G95:I95,"(not assigned)")=0,"Ready","Needs grid entry")</f>
        <v/>
      </c>
      <c r="K95" s="3" t="inlineStr"/>
      <c r="L95" s="3" t="inlineStr">
        <is>
          <t>对不起、起床、一起、起飞</t>
        </is>
      </c>
    </row>
    <row r="96" ht="15.75" customHeight="1" s="9">
      <c r="A96" s="7" t="inlineStr">
        <is>
          <t>气</t>
        </is>
      </c>
      <c r="B96" s="7" t="n">
        <v>1</v>
      </c>
      <c r="C96" s="3" t="inlineStr">
        <is>
          <t>qì</t>
        </is>
      </c>
      <c r="D96" s="3" t="n">
        <v>4</v>
      </c>
      <c r="E96" s="3" t="inlineStr">
        <is>
          <t>Q</t>
        </is>
      </c>
      <c r="F96" s="3" t="inlineStr">
        <is>
          <t>I</t>
        </is>
      </c>
      <c r="G96" s="3">
        <f>IFERROR(IF(INDEX('HMM Actors'!$B:$B,MATCH(E96,'HMM Actors'!$A:$A,0))="","(not assigned)",INDEX('HMM Actors'!$B:$B,MATCH(E96,'HMM Actors'!$A:$A,0))),"(not assigned)")</f>
        <v/>
      </c>
      <c r="H96" s="3">
        <f>IFERROR(IF(INDEX('HMM Locations'!$B:$B,MATCH(F96,'HMM Locations'!$A:$A,0))="","(not assigned)",INDEX('HMM Locations'!$B:$B,MATCH(F96,'HMM Locations'!$A:$A,0))),"(not assigned)")</f>
        <v/>
      </c>
      <c r="I96" s="3">
        <f>IFERROR(IF(INDEX('HMM Locations'!$C:$G,MATCH(F96,'HMM Locations'!$A:$A,0),D96)="","(not assigned)",INDEX('HMM Locations'!$C:$G,MATCH(F96,'HMM Locations'!$A:$A,0),D96)),"(not assigned)")</f>
        <v/>
      </c>
      <c r="J96" s="3">
        <f>IF(COUNTIF(G96:I96,"(not assigned)")=0,"Ready","Needs grid entry")</f>
        <v/>
      </c>
      <c r="K96" s="3" t="inlineStr"/>
      <c r="L96" s="3" t="inlineStr">
        <is>
          <t>不客气、天气、生气</t>
        </is>
      </c>
    </row>
    <row r="97" ht="15.75" customHeight="1" s="9">
      <c r="A97" s="7" t="inlineStr">
        <is>
          <t>前</t>
        </is>
      </c>
      <c r="B97" s="7" t="n">
        <v>1</v>
      </c>
      <c r="C97" s="3" t="inlineStr">
        <is>
          <t>qián</t>
        </is>
      </c>
      <c r="D97" s="3" t="n">
        <v>2</v>
      </c>
      <c r="E97" s="3" t="inlineStr">
        <is>
          <t>Q</t>
        </is>
      </c>
      <c r="F97" s="3" t="inlineStr">
        <is>
          <t>IAN</t>
        </is>
      </c>
      <c r="G97" s="3">
        <f>IFERROR(IF(INDEX('HMM Actors'!$B:$B,MATCH(E97,'HMM Actors'!$A:$A,0))="","(not assigned)",INDEX('HMM Actors'!$B:$B,MATCH(E97,'HMM Actors'!$A:$A,0))),"(not assigned)")</f>
        <v/>
      </c>
      <c r="H97" s="3">
        <f>IFERROR(IF(INDEX('HMM Locations'!$B:$B,MATCH(F97,'HMM Locations'!$A:$A,0))="","(not assigned)",INDEX('HMM Locations'!$B:$B,MATCH(F97,'HMM Locations'!$A:$A,0))),"(not assigned)")</f>
        <v/>
      </c>
      <c r="I97" s="3">
        <f>IFERROR(IF(INDEX('HMM Locations'!$C:$G,MATCH(F97,'HMM Locations'!$A:$A,0),D97)="","(not assigned)",INDEX('HMM Locations'!$C:$G,MATCH(F97,'HMM Locations'!$A:$A,0),D97)),"(not assigned)")</f>
        <v/>
      </c>
      <c r="J97" s="3">
        <f>IF(COUNTIF(G97:I97,"(not assigned)")=0,"Ready","Needs grid entry")</f>
        <v/>
      </c>
      <c r="K97" s="3" t="inlineStr"/>
      <c r="L97" s="3" t="inlineStr">
        <is>
          <t>前面、以前</t>
        </is>
      </c>
    </row>
    <row r="98" ht="15.75" customHeight="1" s="9">
      <c r="A98" s="7" t="inlineStr">
        <is>
          <t>钱</t>
        </is>
      </c>
      <c r="B98" s="7" t="n">
        <v>1</v>
      </c>
      <c r="C98" s="3" t="inlineStr">
        <is>
          <t>qián</t>
        </is>
      </c>
      <c r="D98" s="3" t="n">
        <v>2</v>
      </c>
      <c r="E98" s="3" t="inlineStr">
        <is>
          <t>Q</t>
        </is>
      </c>
      <c r="F98" s="3" t="inlineStr">
        <is>
          <t>IAN</t>
        </is>
      </c>
      <c r="G98" s="3">
        <f>IFERROR(IF(INDEX('HMM Actors'!$B:$B,MATCH(E98,'HMM Actors'!$A:$A,0))="","(not assigned)",INDEX('HMM Actors'!$B:$B,MATCH(E98,'HMM Actors'!$A:$A,0))),"(not assigned)")</f>
        <v/>
      </c>
      <c r="H98" s="3">
        <f>IFERROR(IF(INDEX('HMM Locations'!$B:$B,MATCH(F98,'HMM Locations'!$A:$A,0))="","(not assigned)",INDEX('HMM Locations'!$B:$B,MATCH(F98,'HMM Locations'!$A:$A,0))),"(not assigned)")</f>
        <v/>
      </c>
      <c r="I98" s="3">
        <f>IFERROR(IF(INDEX('HMM Locations'!$C:$G,MATCH(F98,'HMM Locations'!$A:$A,0),D98)="","(not assigned)",INDEX('HMM Locations'!$C:$G,MATCH(F98,'HMM Locations'!$A:$A,0),D98)),"(not assigned)")</f>
        <v/>
      </c>
      <c r="J98" s="3">
        <f>IF(COUNTIF(G98:I98,"(not assigned)")=0,"Ready","Needs grid entry")</f>
        <v/>
      </c>
      <c r="K98" s="3" t="inlineStr"/>
      <c r="L98" s="3" t="inlineStr">
        <is>
          <t>钱</t>
        </is>
      </c>
    </row>
    <row r="99" ht="15.75" customHeight="1" s="9">
      <c r="A99" s="7" t="inlineStr">
        <is>
          <t>请</t>
        </is>
      </c>
      <c r="B99" s="7" t="n">
        <v>1</v>
      </c>
      <c r="C99" s="3" t="inlineStr">
        <is>
          <t>qǐng</t>
        </is>
      </c>
      <c r="D99" s="3" t="n">
        <v>3</v>
      </c>
      <c r="E99" s="3" t="inlineStr">
        <is>
          <t>Q</t>
        </is>
      </c>
      <c r="F99" s="3" t="inlineStr">
        <is>
          <t>ING</t>
        </is>
      </c>
      <c r="G99" s="3">
        <f>IFERROR(IF(INDEX('HMM Actors'!$B:$B,MATCH(E99,'HMM Actors'!$A:$A,0))="","(not assigned)",INDEX('HMM Actors'!$B:$B,MATCH(E99,'HMM Actors'!$A:$A,0))),"(not assigned)")</f>
        <v/>
      </c>
      <c r="H99" s="3">
        <f>IFERROR(IF(INDEX('HMM Locations'!$B:$B,MATCH(F99,'HMM Locations'!$A:$A,0))="","(not assigned)",INDEX('HMM Locations'!$B:$B,MATCH(F99,'HMM Locations'!$A:$A,0))),"(not assigned)")</f>
        <v/>
      </c>
      <c r="I99" s="3">
        <f>IFERROR(IF(INDEX('HMM Locations'!$C:$G,MATCH(F99,'HMM Locations'!$A:$A,0),D99)="","(not assigned)",INDEX('HMM Locations'!$C:$G,MATCH(F99,'HMM Locations'!$A:$A,0),D99)),"(not assigned)")</f>
        <v/>
      </c>
      <c r="J99" s="3">
        <f>IF(COUNTIF(G99:I99,"(not assigned)")=0,"Ready","Needs grid entry")</f>
        <v/>
      </c>
      <c r="K99" s="3" t="inlineStr"/>
      <c r="L99" s="3" t="inlineStr">
        <is>
          <t>请、请假</t>
        </is>
      </c>
    </row>
    <row r="100" ht="15.75" customHeight="1" s="9">
      <c r="A100" s="7" t="inlineStr">
        <is>
          <t>去</t>
        </is>
      </c>
      <c r="B100" s="7" t="n">
        <v>1</v>
      </c>
      <c r="C100" s="3" t="inlineStr">
        <is>
          <t>qù</t>
        </is>
      </c>
      <c r="D100" s="3" t="n">
        <v>4</v>
      </c>
      <c r="E100" s="3" t="inlineStr">
        <is>
          <t>Q</t>
        </is>
      </c>
      <c r="F100" s="3" t="inlineStr">
        <is>
          <t>U</t>
        </is>
      </c>
      <c r="G100" s="3">
        <f>IFERROR(IF(INDEX('HMM Actors'!$B:$B,MATCH(E100,'HMM Actors'!$A:$A,0))="","(not assigned)",INDEX('HMM Actors'!$B:$B,MATCH(E100,'HMM Actors'!$A:$A,0))),"(not assigned)")</f>
        <v/>
      </c>
      <c r="H100" s="3">
        <f>IFERROR(IF(INDEX('HMM Locations'!$B:$B,MATCH(F100,'HMM Locations'!$A:$A,0))="","(not assigned)",INDEX('HMM Locations'!$B:$B,MATCH(F100,'HMM Locations'!$A:$A,0))),"(not assigned)")</f>
        <v/>
      </c>
      <c r="I100" s="3">
        <f>IFERROR(IF(INDEX('HMM Locations'!$C:$G,MATCH(F100,'HMM Locations'!$A:$A,0),D100)="","(not assigned)",INDEX('HMM Locations'!$C:$G,MATCH(F100,'HMM Locations'!$A:$A,0),D100)),"(not assigned)")</f>
        <v/>
      </c>
      <c r="J100" s="3">
        <f>IF(COUNTIF(G100:I100,"(not assigned)")=0,"Ready","Needs grid entry")</f>
        <v/>
      </c>
      <c r="K100" s="3" t="inlineStr"/>
      <c r="L100" s="3" t="inlineStr">
        <is>
          <t>去、去年、过去</t>
        </is>
      </c>
    </row>
    <row r="101" ht="15.75" customHeight="1" s="9">
      <c r="A101" s="7" t="inlineStr">
        <is>
          <t>热</t>
        </is>
      </c>
      <c r="B101" s="7" t="n">
        <v>1</v>
      </c>
      <c r="C101" s="3" t="inlineStr">
        <is>
          <t>rè</t>
        </is>
      </c>
      <c r="D101" s="3" t="n">
        <v>4</v>
      </c>
      <c r="E101" s="3" t="inlineStr">
        <is>
          <t>R</t>
        </is>
      </c>
      <c r="F101" s="3" t="inlineStr">
        <is>
          <t>E</t>
        </is>
      </c>
      <c r="G101" s="3">
        <f>IFERROR(IF(INDEX('HMM Actors'!$B:$B,MATCH(E101,'HMM Actors'!$A:$A,0))="","(not assigned)",INDEX('HMM Actors'!$B:$B,MATCH(E101,'HMM Actors'!$A:$A,0))),"(not assigned)")</f>
        <v/>
      </c>
      <c r="H101" s="3">
        <f>IFERROR(IF(INDEX('HMM Locations'!$B:$B,MATCH(F101,'HMM Locations'!$A:$A,0))="","(not assigned)",INDEX('HMM Locations'!$B:$B,MATCH(F101,'HMM Locations'!$A:$A,0))),"(not assigned)")</f>
        <v/>
      </c>
      <c r="I101" s="3">
        <f>IFERROR(IF(INDEX('HMM Locations'!$C:$G,MATCH(F101,'HMM Locations'!$A:$A,0),D101)="","(not assigned)",INDEX('HMM Locations'!$C:$G,MATCH(F101,'HMM Locations'!$A:$A,0),D101)),"(not assigned)")</f>
        <v/>
      </c>
      <c r="J101" s="3">
        <f>IF(COUNTIF(G101:I101,"(not assigned)")=0,"Ready","Needs grid entry")</f>
        <v/>
      </c>
      <c r="K101" s="3" t="inlineStr"/>
      <c r="L101" s="3" t="inlineStr">
        <is>
          <t>热、热情</t>
        </is>
      </c>
    </row>
    <row r="102" ht="15.75" customHeight="1" s="9">
      <c r="A102" s="7" t="inlineStr">
        <is>
          <t>人</t>
        </is>
      </c>
      <c r="B102" s="7" t="n">
        <v>1</v>
      </c>
      <c r="C102" s="3" t="inlineStr">
        <is>
          <t>rén</t>
        </is>
      </c>
      <c r="D102" s="3" t="n">
        <v>2</v>
      </c>
      <c r="E102" s="3" t="inlineStr">
        <is>
          <t>R</t>
        </is>
      </c>
      <c r="F102" s="3" t="inlineStr">
        <is>
          <t>(E)N</t>
        </is>
      </c>
      <c r="G102" s="3">
        <f>IFERROR(IF(INDEX('HMM Actors'!$B:$B,MATCH(E102,'HMM Actors'!$A:$A,0))="","(not assigned)",INDEX('HMM Actors'!$B:$B,MATCH(E102,'HMM Actors'!$A:$A,0))),"(not assigned)")</f>
        <v/>
      </c>
      <c r="H102" s="3">
        <f>IFERROR(IF(INDEX('HMM Locations'!$B:$B,MATCH(F102,'HMM Locations'!$A:$A,0))="","(not assigned)",INDEX('HMM Locations'!$B:$B,MATCH(F102,'HMM Locations'!$A:$A,0))),"(not assigned)")</f>
        <v/>
      </c>
      <c r="I102" s="3">
        <f>IFERROR(IF(INDEX('HMM Locations'!$C:$G,MATCH(F102,'HMM Locations'!$A:$A,0),D102)="","(not assigned)",INDEX('HMM Locations'!$C:$G,MATCH(F102,'HMM Locations'!$A:$A,0),D102)),"(not assigned)")</f>
        <v/>
      </c>
      <c r="J102" s="3">
        <f>IF(COUNTIF(G102:I102,"(not assigned)")=0,"Ready","Needs grid entry")</f>
        <v/>
      </c>
      <c r="K102" s="3" t="inlineStr"/>
      <c r="L102" s="3" t="inlineStr">
        <is>
          <t>人、别人、客人</t>
        </is>
      </c>
    </row>
    <row r="103" ht="15.75" customHeight="1" s="9">
      <c r="A103" s="7" t="inlineStr">
        <is>
          <t>认</t>
        </is>
      </c>
      <c r="B103" s="7" t="n">
        <v>1</v>
      </c>
      <c r="C103" s="3" t="inlineStr">
        <is>
          <t>rèn</t>
        </is>
      </c>
      <c r="D103" s="3" t="n">
        <v>4</v>
      </c>
      <c r="E103" s="3" t="inlineStr">
        <is>
          <t>R</t>
        </is>
      </c>
      <c r="F103" s="3" t="inlineStr">
        <is>
          <t>(E)N</t>
        </is>
      </c>
      <c r="G103" s="3">
        <f>IFERROR(IF(INDEX('HMM Actors'!$B:$B,MATCH(E103,'HMM Actors'!$A:$A,0))="","(not assigned)",INDEX('HMM Actors'!$B:$B,MATCH(E103,'HMM Actors'!$A:$A,0))),"(not assigned)")</f>
        <v/>
      </c>
      <c r="H103" s="3">
        <f>IFERROR(IF(INDEX('HMM Locations'!$B:$B,MATCH(F103,'HMM Locations'!$A:$A,0))="","(not assigned)",INDEX('HMM Locations'!$B:$B,MATCH(F103,'HMM Locations'!$A:$A,0))),"(not assigned)")</f>
        <v/>
      </c>
      <c r="I103" s="3">
        <f>IFERROR(IF(INDEX('HMM Locations'!$C:$G,MATCH(F103,'HMM Locations'!$A:$A,0),D103)="","(not assigned)",INDEX('HMM Locations'!$C:$G,MATCH(F103,'HMM Locations'!$A:$A,0),D103)),"(not assigned)")</f>
        <v/>
      </c>
      <c r="J103" s="3">
        <f>IF(COUNTIF(G103:I103,"(not assigned)")=0,"Ready","Needs grid entry")</f>
        <v/>
      </c>
      <c r="K103" s="3" t="inlineStr"/>
      <c r="L103" s="3" t="inlineStr">
        <is>
          <t>认识、认为、认真</t>
        </is>
      </c>
    </row>
    <row r="104" ht="15.75" customHeight="1" s="9">
      <c r="A104" s="7" t="inlineStr">
        <is>
          <t>三</t>
        </is>
      </c>
      <c r="B104" s="7" t="n">
        <v>1</v>
      </c>
      <c r="C104" s="3" t="inlineStr">
        <is>
          <t>sān</t>
        </is>
      </c>
      <c r="D104" s="3" t="n">
        <v>1</v>
      </c>
      <c r="E104" s="3" t="inlineStr">
        <is>
          <t>S</t>
        </is>
      </c>
      <c r="F104" s="3" t="inlineStr">
        <is>
          <t>AN</t>
        </is>
      </c>
      <c r="G104" s="3">
        <f>IFERROR(IF(INDEX('HMM Actors'!$B:$B,MATCH(E104,'HMM Actors'!$A:$A,0))="","(not assigned)",INDEX('HMM Actors'!$B:$B,MATCH(E104,'HMM Actors'!$A:$A,0))),"(not assigned)")</f>
        <v/>
      </c>
      <c r="H104" s="3">
        <f>IFERROR(IF(INDEX('HMM Locations'!$B:$B,MATCH(F104,'HMM Locations'!$A:$A,0))="","(not assigned)",INDEX('HMM Locations'!$B:$B,MATCH(F104,'HMM Locations'!$A:$A,0))),"(not assigned)")</f>
        <v/>
      </c>
      <c r="I104" s="3">
        <f>IFERROR(IF(INDEX('HMM Locations'!$C:$G,MATCH(F104,'HMM Locations'!$A:$A,0),D104)="","(not assigned)",INDEX('HMM Locations'!$C:$G,MATCH(F104,'HMM Locations'!$A:$A,0),D104)),"(not assigned)")</f>
        <v/>
      </c>
      <c r="J104" s="3">
        <f>IF(COUNTIF(G104:I104,"(not assigned)")=0,"Ready","Needs grid entry")</f>
        <v/>
      </c>
      <c r="K104" s="3" t="inlineStr"/>
      <c r="L104" s="3" t="inlineStr">
        <is>
          <t>三</t>
        </is>
      </c>
    </row>
    <row r="105" ht="15.75" customHeight="1" s="9">
      <c r="A105" s="7" t="inlineStr">
        <is>
          <t>商</t>
        </is>
      </c>
      <c r="B105" s="7" t="n">
        <v>1</v>
      </c>
      <c r="C105" s="3" t="inlineStr">
        <is>
          <t>shāng</t>
        </is>
      </c>
      <c r="D105" s="3" t="n">
        <v>1</v>
      </c>
      <c r="E105" s="3" t="inlineStr">
        <is>
          <t>SH</t>
        </is>
      </c>
      <c r="F105" s="3" t="inlineStr">
        <is>
          <t>ANG</t>
        </is>
      </c>
      <c r="G105" s="3">
        <f>IFERROR(IF(INDEX('HMM Actors'!$B:$B,MATCH(E105,'HMM Actors'!$A:$A,0))="","(not assigned)",INDEX('HMM Actors'!$B:$B,MATCH(E105,'HMM Actors'!$A:$A,0))),"(not assigned)")</f>
        <v/>
      </c>
      <c r="H105" s="3">
        <f>IFERROR(IF(INDEX('HMM Locations'!$B:$B,MATCH(F105,'HMM Locations'!$A:$A,0))="","(not assigned)",INDEX('HMM Locations'!$B:$B,MATCH(F105,'HMM Locations'!$A:$A,0))),"(not assigned)")</f>
        <v/>
      </c>
      <c r="I105" s="3">
        <f>IFERROR(IF(INDEX('HMM Locations'!$C:$G,MATCH(F105,'HMM Locations'!$A:$A,0),D105)="","(not assigned)",INDEX('HMM Locations'!$C:$G,MATCH(F105,'HMM Locations'!$A:$A,0),D105)),"(not assigned)")</f>
        <v/>
      </c>
      <c r="J105" s="3">
        <f>IF(COUNTIF(G105:I105,"(not assigned)")=0,"Ready","Needs grid entry")</f>
        <v/>
      </c>
      <c r="K105" s="3" t="inlineStr"/>
      <c r="L105" s="3" t="inlineStr">
        <is>
          <t>商店</t>
        </is>
      </c>
    </row>
    <row r="106" ht="15.75" customHeight="1" s="9">
      <c r="A106" s="7" t="inlineStr">
        <is>
          <t>上</t>
        </is>
      </c>
      <c r="B106" s="7" t="n">
        <v>1</v>
      </c>
      <c r="C106" s="3" t="inlineStr">
        <is>
          <t>shàng</t>
        </is>
      </c>
      <c r="D106" s="3" t="n">
        <v>4</v>
      </c>
      <c r="E106" s="3" t="inlineStr">
        <is>
          <t>SH</t>
        </is>
      </c>
      <c r="F106" s="3" t="inlineStr">
        <is>
          <t>ANG</t>
        </is>
      </c>
      <c r="G106" s="3">
        <f>IFERROR(IF(INDEX('HMM Actors'!$B:$B,MATCH(E106,'HMM Actors'!$A:$A,0))="","(not assigned)",INDEX('HMM Actors'!$B:$B,MATCH(E106,'HMM Actors'!$A:$A,0))),"(not assigned)")</f>
        <v/>
      </c>
      <c r="H106" s="3">
        <f>IFERROR(IF(INDEX('HMM Locations'!$B:$B,MATCH(F106,'HMM Locations'!$A:$A,0))="","(not assigned)",INDEX('HMM Locations'!$B:$B,MATCH(F106,'HMM Locations'!$A:$A,0))),"(not assigned)")</f>
        <v/>
      </c>
      <c r="I106" s="3">
        <f>IFERROR(IF(INDEX('HMM Locations'!$C:$G,MATCH(F106,'HMM Locations'!$A:$A,0),D106)="","(not assigned)",INDEX('HMM Locations'!$C:$G,MATCH(F106,'HMM Locations'!$A:$A,0),D106)),"(not assigned)")</f>
        <v/>
      </c>
      <c r="J106" s="3">
        <f>IF(COUNTIF(G106:I106,"(not assigned)")=0,"Ready","Needs grid entry")</f>
        <v/>
      </c>
      <c r="K106" s="3" t="inlineStr"/>
      <c r="L106" s="3" t="inlineStr">
        <is>
          <t>上、上午、上班、晚上</t>
        </is>
      </c>
    </row>
    <row r="107" ht="15.75" customHeight="1" s="9">
      <c r="A107" s="7" t="inlineStr">
        <is>
          <t>少</t>
        </is>
      </c>
      <c r="B107" s="7" t="n">
        <v>1</v>
      </c>
      <c r="C107" s="3" t="inlineStr">
        <is>
          <t>shǎo</t>
        </is>
      </c>
      <c r="D107" s="3" t="n">
        <v>3</v>
      </c>
      <c r="E107" s="3" t="inlineStr">
        <is>
          <t>SH</t>
        </is>
      </c>
      <c r="F107" s="3" t="inlineStr">
        <is>
          <t>AO</t>
        </is>
      </c>
      <c r="G107" s="3">
        <f>IFERROR(IF(INDEX('HMM Actors'!$B:$B,MATCH(E107,'HMM Actors'!$A:$A,0))="","(not assigned)",INDEX('HMM Actors'!$B:$B,MATCH(E107,'HMM Actors'!$A:$A,0))),"(not assigned)")</f>
        <v/>
      </c>
      <c r="H107" s="3">
        <f>IFERROR(IF(INDEX('HMM Locations'!$B:$B,MATCH(F107,'HMM Locations'!$A:$A,0))="","(not assigned)",INDEX('HMM Locations'!$B:$B,MATCH(F107,'HMM Locations'!$A:$A,0))),"(not assigned)")</f>
        <v/>
      </c>
      <c r="I107" s="3">
        <f>IFERROR(IF(INDEX('HMM Locations'!$C:$G,MATCH(F107,'HMM Locations'!$A:$A,0),D107)="","(not assigned)",INDEX('HMM Locations'!$C:$G,MATCH(F107,'HMM Locations'!$A:$A,0),D107)),"(not assigned)")</f>
        <v/>
      </c>
      <c r="J107" s="3">
        <f>IF(COUNTIF(G107:I107,"(not assigned)")=0,"Ready","Needs grid entry")</f>
        <v/>
      </c>
      <c r="K107" s="3" t="inlineStr"/>
      <c r="L107" s="3" t="inlineStr">
        <is>
          <t>多少、少</t>
        </is>
      </c>
    </row>
    <row r="108" ht="15.75" customHeight="1" s="9">
      <c r="A108" s="7" t="inlineStr">
        <is>
          <t>谁</t>
        </is>
      </c>
      <c r="B108" s="7" t="n">
        <v>1</v>
      </c>
      <c r="C108" s="3" t="inlineStr">
        <is>
          <t>shéi</t>
        </is>
      </c>
      <c r="D108" s="3" t="n">
        <v>2</v>
      </c>
      <c r="E108" s="3" t="inlineStr">
        <is>
          <t>SH</t>
        </is>
      </c>
      <c r="F108" s="3" t="inlineStr">
        <is>
          <t>EI</t>
        </is>
      </c>
      <c r="G108" s="3">
        <f>IFERROR(IF(INDEX('HMM Actors'!$B:$B,MATCH(E108,'HMM Actors'!$A:$A,0))="","(not assigned)",INDEX('HMM Actors'!$B:$B,MATCH(E108,'HMM Actors'!$A:$A,0))),"(not assigned)")</f>
        <v/>
      </c>
      <c r="H108" s="3">
        <f>IFERROR(IF(INDEX('HMM Locations'!$B:$B,MATCH(F108,'HMM Locations'!$A:$A,0))="","(not assigned)",INDEX('HMM Locations'!$B:$B,MATCH(F108,'HMM Locations'!$A:$A,0))),"(not assigned)")</f>
        <v/>
      </c>
      <c r="I108" s="3">
        <f>IFERROR(IF(INDEX('HMM Locations'!$C:$G,MATCH(F108,'HMM Locations'!$A:$A,0),D108)="","(not assigned)",INDEX('HMM Locations'!$C:$G,MATCH(F108,'HMM Locations'!$A:$A,0),D108)),"(not assigned)")</f>
        <v/>
      </c>
      <c r="J108" s="3">
        <f>IF(COUNTIF(G108:I108,"(not assigned)")=0,"Ready","Needs grid entry")</f>
        <v/>
      </c>
      <c r="K108" s="3" t="inlineStr"/>
      <c r="L108" s="3" t="inlineStr">
        <is>
          <t>谁</t>
        </is>
      </c>
    </row>
    <row r="109" ht="15.75" customHeight="1" s="9">
      <c r="A109" s="7" t="inlineStr">
        <is>
          <t>什</t>
        </is>
      </c>
      <c r="B109" s="7" t="n">
        <v>1</v>
      </c>
      <c r="C109" s="3" t="inlineStr">
        <is>
          <t>shén</t>
        </is>
      </c>
      <c r="D109" s="3" t="n">
        <v>2</v>
      </c>
      <c r="E109" s="3" t="inlineStr">
        <is>
          <t>SH</t>
        </is>
      </c>
      <c r="F109" s="3" t="inlineStr">
        <is>
          <t>(E)N</t>
        </is>
      </c>
      <c r="G109" s="3">
        <f>IFERROR(IF(INDEX('HMM Actors'!$B:$B,MATCH(E109,'HMM Actors'!$A:$A,0))="","(not assigned)",INDEX('HMM Actors'!$B:$B,MATCH(E109,'HMM Actors'!$A:$A,0))),"(not assigned)")</f>
        <v/>
      </c>
      <c r="H109" s="3">
        <f>IFERROR(IF(INDEX('HMM Locations'!$B:$B,MATCH(F109,'HMM Locations'!$A:$A,0))="","(not assigned)",INDEX('HMM Locations'!$B:$B,MATCH(F109,'HMM Locations'!$A:$A,0))),"(not assigned)")</f>
        <v/>
      </c>
      <c r="I109" s="3">
        <f>IFERROR(IF(INDEX('HMM Locations'!$C:$G,MATCH(F109,'HMM Locations'!$A:$A,0),D109)="","(not assigned)",INDEX('HMM Locations'!$C:$G,MATCH(F109,'HMM Locations'!$A:$A,0),D109)),"(not assigned)")</f>
        <v/>
      </c>
      <c r="J109" s="3">
        <f>IF(COUNTIF(G109:I109,"(not assigned)")=0,"Ready","Needs grid entry")</f>
        <v/>
      </c>
      <c r="K109" s="3" t="inlineStr"/>
      <c r="L109" s="3" t="inlineStr">
        <is>
          <t>什么、为什么</t>
        </is>
      </c>
    </row>
    <row r="110" ht="15.75" customHeight="1" s="9">
      <c r="A110" s="7" t="inlineStr">
        <is>
          <t>生</t>
        </is>
      </c>
      <c r="B110" s="7" t="n">
        <v>1</v>
      </c>
      <c r="C110" s="3" t="inlineStr">
        <is>
          <t>shēng</t>
        </is>
      </c>
      <c r="D110" s="3" t="n">
        <v>1</v>
      </c>
      <c r="E110" s="3" t="inlineStr">
        <is>
          <t>SH</t>
        </is>
      </c>
      <c r="F110" s="3" t="inlineStr">
        <is>
          <t>(E)NG</t>
        </is>
      </c>
      <c r="G110" s="3">
        <f>IFERROR(IF(INDEX('HMM Actors'!$B:$B,MATCH(E110,'HMM Actors'!$A:$A,0))="","(not assigned)",INDEX('HMM Actors'!$B:$B,MATCH(E110,'HMM Actors'!$A:$A,0))),"(not assigned)")</f>
        <v/>
      </c>
      <c r="H110" s="3">
        <f>IFERROR(IF(INDEX('HMM Locations'!$B:$B,MATCH(F110,'HMM Locations'!$A:$A,0))="","(not assigned)",INDEX('HMM Locations'!$B:$B,MATCH(F110,'HMM Locations'!$A:$A,0))),"(not assigned)")</f>
        <v/>
      </c>
      <c r="I110" s="3">
        <f>IFERROR(IF(INDEX('HMM Locations'!$C:$G,MATCH(F110,'HMM Locations'!$A:$A,0),D110)="","(not assigned)",INDEX('HMM Locations'!$C:$G,MATCH(F110,'HMM Locations'!$A:$A,0),D110)),"(not assigned)")</f>
        <v/>
      </c>
      <c r="J110" s="3">
        <f>IF(COUNTIF(G110:I110,"(not assigned)")=0,"Ready","Needs grid entry")</f>
        <v/>
      </c>
      <c r="K110" s="3" t="inlineStr"/>
      <c r="L110" s="3" t="inlineStr">
        <is>
          <t>先生、学生、医生、生病</t>
        </is>
      </c>
    </row>
    <row r="111" ht="15.75" customHeight="1" s="9">
      <c r="A111" s="7" t="inlineStr">
        <is>
          <t>师</t>
        </is>
      </c>
      <c r="B111" s="7" t="n">
        <v>1</v>
      </c>
      <c r="C111" s="3" t="inlineStr">
        <is>
          <t>shī</t>
        </is>
      </c>
      <c r="D111" s="3" t="n">
        <v>1</v>
      </c>
      <c r="E111" s="3" t="inlineStr">
        <is>
          <t>SH</t>
        </is>
      </c>
      <c r="F111" s="3" t="inlineStr">
        <is>
          <t>Ø (no final)</t>
        </is>
      </c>
      <c r="G111" s="3">
        <f>IFERROR(IF(INDEX('HMM Actors'!$B:$B,MATCH(E111,'HMM Actors'!$A:$A,0))="","(not assigned)",INDEX('HMM Actors'!$B:$B,MATCH(E111,'HMM Actors'!$A:$A,0))),"(not assigned)")</f>
        <v/>
      </c>
      <c r="H111" s="3">
        <f>IFERROR(IF(INDEX('HMM Locations'!$B:$B,MATCH(F111,'HMM Locations'!$A:$A,0))="","(not assigned)",INDEX('HMM Locations'!$B:$B,MATCH(F111,'HMM Locations'!$A:$A,0))),"(not assigned)")</f>
        <v/>
      </c>
      <c r="I111" s="3">
        <f>IFERROR(IF(INDEX('HMM Locations'!$C:$G,MATCH(F111,'HMM Locations'!$A:$A,0),D111)="","(not assigned)",INDEX('HMM Locations'!$C:$G,MATCH(F111,'HMM Locations'!$A:$A,0),D111)),"(not assigned)")</f>
        <v/>
      </c>
      <c r="J111" s="3">
        <f>IF(COUNTIF(G111:I111,"(not assigned)")=0,"Ready","Needs grid entry")</f>
        <v/>
      </c>
      <c r="K111" s="3" t="inlineStr"/>
      <c r="L111" s="3" t="inlineStr">
        <is>
          <t>老师</t>
        </is>
      </c>
    </row>
    <row r="112" ht="15.75" customHeight="1" s="9">
      <c r="A112" s="7" t="inlineStr">
        <is>
          <t>十</t>
        </is>
      </c>
      <c r="B112" s="7" t="n">
        <v>1</v>
      </c>
      <c r="C112" s="3" t="inlineStr">
        <is>
          <t>shí</t>
        </is>
      </c>
      <c r="D112" s="3" t="n">
        <v>2</v>
      </c>
      <c r="E112" s="3" t="inlineStr">
        <is>
          <t>SH</t>
        </is>
      </c>
      <c r="F112" s="3" t="inlineStr">
        <is>
          <t>Ø (no final)</t>
        </is>
      </c>
      <c r="G112" s="3">
        <f>IFERROR(IF(INDEX('HMM Actors'!$B:$B,MATCH(E112,'HMM Actors'!$A:$A,0))="","(not assigned)",INDEX('HMM Actors'!$B:$B,MATCH(E112,'HMM Actors'!$A:$A,0))),"(not assigned)")</f>
        <v/>
      </c>
      <c r="H112" s="3">
        <f>IFERROR(IF(INDEX('HMM Locations'!$B:$B,MATCH(F112,'HMM Locations'!$A:$A,0))="","(not assigned)",INDEX('HMM Locations'!$B:$B,MATCH(F112,'HMM Locations'!$A:$A,0))),"(not assigned)")</f>
        <v/>
      </c>
      <c r="I112" s="3">
        <f>IFERROR(IF(INDEX('HMM Locations'!$C:$G,MATCH(F112,'HMM Locations'!$A:$A,0),D112)="","(not assigned)",INDEX('HMM Locations'!$C:$G,MATCH(F112,'HMM Locations'!$A:$A,0),D112)),"(not assigned)")</f>
        <v/>
      </c>
      <c r="J112" s="3">
        <f>IF(COUNTIF(G112:I112,"(not assigned)")=0,"Ready","Needs grid entry")</f>
        <v/>
      </c>
      <c r="K112" s="3" t="inlineStr"/>
      <c r="L112" s="3" t="inlineStr">
        <is>
          <t>十</t>
        </is>
      </c>
    </row>
    <row r="113" ht="15.75" customHeight="1" s="9">
      <c r="A113" s="7" t="inlineStr">
        <is>
          <t>时</t>
        </is>
      </c>
      <c r="B113" s="7" t="n">
        <v>1</v>
      </c>
      <c r="C113" s="3" t="inlineStr">
        <is>
          <t>shí</t>
        </is>
      </c>
      <c r="D113" s="3" t="n">
        <v>2</v>
      </c>
      <c r="E113" s="3" t="inlineStr">
        <is>
          <t>SH</t>
        </is>
      </c>
      <c r="F113" s="3" t="inlineStr">
        <is>
          <t>Ø (no final)</t>
        </is>
      </c>
      <c r="G113" s="3">
        <f>IFERROR(IF(INDEX('HMM Actors'!$B:$B,MATCH(E113,'HMM Actors'!$A:$A,0))="","(not assigned)",INDEX('HMM Actors'!$B:$B,MATCH(E113,'HMM Actors'!$A:$A,0))),"(not assigned)")</f>
        <v/>
      </c>
      <c r="H113" s="3">
        <f>IFERROR(IF(INDEX('HMM Locations'!$B:$B,MATCH(F113,'HMM Locations'!$A:$A,0))="","(not assigned)",INDEX('HMM Locations'!$B:$B,MATCH(F113,'HMM Locations'!$A:$A,0))),"(not assigned)")</f>
        <v/>
      </c>
      <c r="I113" s="3">
        <f>IFERROR(IF(INDEX('HMM Locations'!$C:$G,MATCH(F113,'HMM Locations'!$A:$A,0),D113)="","(not assigned)",INDEX('HMM Locations'!$C:$G,MATCH(F113,'HMM Locations'!$A:$A,0),D113)),"(not assigned)")</f>
        <v/>
      </c>
      <c r="J113" s="3">
        <f>IF(COUNTIF(G113:I113,"(not assigned)")=0,"Ready","Needs grid entry")</f>
        <v/>
      </c>
      <c r="K113" s="3" t="inlineStr"/>
      <c r="L113" s="3" t="inlineStr">
        <is>
          <t>时候、时间、小时</t>
        </is>
      </c>
    </row>
    <row r="114" ht="15.75" customHeight="1" s="9">
      <c r="A114" s="7" t="inlineStr">
        <is>
          <t>识</t>
        </is>
      </c>
      <c r="B114" s="7" t="n">
        <v>1</v>
      </c>
      <c r="C114" s="3" t="inlineStr">
        <is>
          <t>shí</t>
        </is>
      </c>
      <c r="D114" s="3" t="n">
        <v>2</v>
      </c>
      <c r="E114" s="3" t="inlineStr">
        <is>
          <t>SH</t>
        </is>
      </c>
      <c r="F114" s="3" t="inlineStr">
        <is>
          <t>Ø (no final)</t>
        </is>
      </c>
      <c r="G114" s="3">
        <f>IFERROR(IF(INDEX('HMM Actors'!$B:$B,MATCH(E114,'HMM Actors'!$A:$A,0))="","(not assigned)",INDEX('HMM Actors'!$B:$B,MATCH(E114,'HMM Actors'!$A:$A,0))),"(not assigned)")</f>
        <v/>
      </c>
      <c r="H114" s="3">
        <f>IFERROR(IF(INDEX('HMM Locations'!$B:$B,MATCH(F114,'HMM Locations'!$A:$A,0))="","(not assigned)",INDEX('HMM Locations'!$B:$B,MATCH(F114,'HMM Locations'!$A:$A,0))),"(not assigned)")</f>
        <v/>
      </c>
      <c r="I114" s="3">
        <f>IFERROR(IF(INDEX('HMM Locations'!$C:$G,MATCH(F114,'HMM Locations'!$A:$A,0),D114)="","(not assigned)",INDEX('HMM Locations'!$C:$G,MATCH(F114,'HMM Locations'!$A:$A,0),D114)),"(not assigned)")</f>
        <v/>
      </c>
      <c r="J114" s="3">
        <f>IF(COUNTIF(G114:I114,"(not assigned)")=0,"Ready","Needs grid entry")</f>
        <v/>
      </c>
      <c r="K114" s="3" t="inlineStr"/>
      <c r="L114" s="3" t="inlineStr">
        <is>
          <t>认识</t>
        </is>
      </c>
    </row>
    <row r="115" ht="15.75" customHeight="1" s="9">
      <c r="A115" s="7" t="inlineStr">
        <is>
          <t>视</t>
        </is>
      </c>
      <c r="B115" s="7" t="n">
        <v>1</v>
      </c>
      <c r="C115" s="3" t="inlineStr">
        <is>
          <t>shì</t>
        </is>
      </c>
      <c r="D115" s="3" t="n">
        <v>4</v>
      </c>
      <c r="E115" s="3" t="inlineStr">
        <is>
          <t>SH</t>
        </is>
      </c>
      <c r="F115" s="3" t="inlineStr">
        <is>
          <t>Ø (no final)</t>
        </is>
      </c>
      <c r="G115" s="3">
        <f>IFERROR(IF(INDEX('HMM Actors'!$B:$B,MATCH(E115,'HMM Actors'!$A:$A,0))="","(not assigned)",INDEX('HMM Actors'!$B:$B,MATCH(E115,'HMM Actors'!$A:$A,0))),"(not assigned)")</f>
        <v/>
      </c>
      <c r="H115" s="3">
        <f>IFERROR(IF(INDEX('HMM Locations'!$B:$B,MATCH(F115,'HMM Locations'!$A:$A,0))="","(not assigned)",INDEX('HMM Locations'!$B:$B,MATCH(F115,'HMM Locations'!$A:$A,0))),"(not assigned)")</f>
        <v/>
      </c>
      <c r="I115" s="3">
        <f>IFERROR(IF(INDEX('HMM Locations'!$C:$G,MATCH(F115,'HMM Locations'!$A:$A,0),D115)="","(not assigned)",INDEX('HMM Locations'!$C:$G,MATCH(F115,'HMM Locations'!$A:$A,0),D115)),"(not assigned)")</f>
        <v/>
      </c>
      <c r="J115" s="3">
        <f>IF(COUNTIF(G115:I115,"(not assigned)")=0,"Ready","Needs grid entry")</f>
        <v/>
      </c>
      <c r="K115" s="3" t="inlineStr"/>
      <c r="L115" s="3" t="inlineStr">
        <is>
          <t>电视</t>
        </is>
      </c>
    </row>
    <row r="116" ht="15.75" customHeight="1" s="9">
      <c r="A116" s="7" t="inlineStr">
        <is>
          <t>是</t>
        </is>
      </c>
      <c r="B116" s="7" t="n">
        <v>1</v>
      </c>
      <c r="C116" s="3" t="inlineStr">
        <is>
          <t>shì</t>
        </is>
      </c>
      <c r="D116" s="3" t="n">
        <v>4</v>
      </c>
      <c r="E116" s="3" t="inlineStr">
        <is>
          <t>SH</t>
        </is>
      </c>
      <c r="F116" s="3" t="inlineStr">
        <is>
          <t>Ø (no final)</t>
        </is>
      </c>
      <c r="G116" s="3">
        <f>IFERROR(IF(INDEX('HMM Actors'!$B:$B,MATCH(E116,'HMM Actors'!$A:$A,0))="","(not assigned)",INDEX('HMM Actors'!$B:$B,MATCH(E116,'HMM Actors'!$A:$A,0))),"(not assigned)")</f>
        <v/>
      </c>
      <c r="H116" s="3">
        <f>IFERROR(IF(INDEX('HMM Locations'!$B:$B,MATCH(F116,'HMM Locations'!$A:$A,0))="","(not assigned)",INDEX('HMM Locations'!$B:$B,MATCH(F116,'HMM Locations'!$A:$A,0))),"(not assigned)")</f>
        <v/>
      </c>
      <c r="I116" s="3">
        <f>IFERROR(IF(INDEX('HMM Locations'!$C:$G,MATCH(F116,'HMM Locations'!$A:$A,0),D116)="","(not assigned)",INDEX('HMM Locations'!$C:$G,MATCH(F116,'HMM Locations'!$A:$A,0),D116)),"(not assigned)")</f>
        <v/>
      </c>
      <c r="J116" s="3">
        <f>IF(COUNTIF(G116:I116,"(not assigned)")=0,"Ready","Needs grid entry")</f>
        <v/>
      </c>
      <c r="K116" s="3" t="inlineStr"/>
      <c r="L116" s="3" t="inlineStr">
        <is>
          <t>是、虽然…但是…、还是、总是</t>
        </is>
      </c>
    </row>
    <row r="117" ht="15.75" customHeight="1" s="9">
      <c r="A117" s="7" t="inlineStr">
        <is>
          <t>书</t>
        </is>
      </c>
      <c r="B117" s="7" t="n">
        <v>1</v>
      </c>
      <c r="C117" s="3" t="inlineStr">
        <is>
          <t>shū</t>
        </is>
      </c>
      <c r="D117" s="3" t="n">
        <v>1</v>
      </c>
      <c r="E117" s="3" t="inlineStr">
        <is>
          <t>SH</t>
        </is>
      </c>
      <c r="F117" s="3" t="inlineStr">
        <is>
          <t>U</t>
        </is>
      </c>
      <c r="G117" s="3">
        <f>IFERROR(IF(INDEX('HMM Actors'!$B:$B,MATCH(E117,'HMM Actors'!$A:$A,0))="","(not assigned)",INDEX('HMM Actors'!$B:$B,MATCH(E117,'HMM Actors'!$A:$A,0))),"(not assigned)")</f>
        <v/>
      </c>
      <c r="H117" s="3">
        <f>IFERROR(IF(INDEX('HMM Locations'!$B:$B,MATCH(F117,'HMM Locations'!$A:$A,0))="","(not assigned)",INDEX('HMM Locations'!$B:$B,MATCH(F117,'HMM Locations'!$A:$A,0))),"(not assigned)")</f>
        <v/>
      </c>
      <c r="I117" s="3">
        <f>IFERROR(IF(INDEX('HMM Locations'!$C:$G,MATCH(F117,'HMM Locations'!$A:$A,0),D117)="","(not assigned)",INDEX('HMM Locations'!$C:$G,MATCH(F117,'HMM Locations'!$A:$A,0),D117)),"(not assigned)")</f>
        <v/>
      </c>
      <c r="J117" s="3">
        <f>IF(COUNTIF(G117:I117,"(not assigned)")=0,"Ready","Needs grid entry")</f>
        <v/>
      </c>
      <c r="K117" s="3" t="inlineStr"/>
      <c r="L117" s="3" t="inlineStr">
        <is>
          <t>书、图书馆</t>
        </is>
      </c>
    </row>
    <row r="118" ht="15.75" customHeight="1" s="9">
      <c r="A118" s="7" t="inlineStr">
        <is>
          <t>水</t>
        </is>
      </c>
      <c r="B118" s="7" t="n">
        <v>1</v>
      </c>
      <c r="C118" s="3" t="inlineStr">
        <is>
          <t>shuǐ</t>
        </is>
      </c>
      <c r="D118" s="3" t="n">
        <v>3</v>
      </c>
      <c r="E118" s="3" t="inlineStr">
        <is>
          <t>SH</t>
        </is>
      </c>
      <c r="F118" s="3" t="inlineStr">
        <is>
          <t>UI</t>
        </is>
      </c>
      <c r="G118" s="3">
        <f>IFERROR(IF(INDEX('HMM Actors'!$B:$B,MATCH(E118,'HMM Actors'!$A:$A,0))="","(not assigned)",INDEX('HMM Actors'!$B:$B,MATCH(E118,'HMM Actors'!$A:$A,0))),"(not assigned)")</f>
        <v/>
      </c>
      <c r="H118" s="3">
        <f>IFERROR(IF(INDEX('HMM Locations'!$B:$B,MATCH(F118,'HMM Locations'!$A:$A,0))="","(not assigned)",INDEX('HMM Locations'!$B:$B,MATCH(F118,'HMM Locations'!$A:$A,0))),"(not assigned)")</f>
        <v/>
      </c>
      <c r="I118" s="3">
        <f>IFERROR(IF(INDEX('HMM Locations'!$C:$G,MATCH(F118,'HMM Locations'!$A:$A,0),D118)="","(not assigned)",INDEX('HMM Locations'!$C:$G,MATCH(F118,'HMM Locations'!$A:$A,0),D118)),"(not assigned)")</f>
        <v/>
      </c>
      <c r="J118" s="3">
        <f>IF(COUNTIF(G118:I118,"(not assigned)")=0,"Ready","Needs grid entry")</f>
        <v/>
      </c>
      <c r="K118" s="3" t="inlineStr"/>
      <c r="L118" s="3" t="inlineStr">
        <is>
          <t>水、水果、水平</t>
        </is>
      </c>
    </row>
    <row r="119" ht="15.75" customHeight="1" s="9">
      <c r="A119" s="7" t="inlineStr">
        <is>
          <t>睡</t>
        </is>
      </c>
      <c r="B119" s="7" t="n">
        <v>1</v>
      </c>
      <c r="C119" s="3" t="inlineStr">
        <is>
          <t>shuì</t>
        </is>
      </c>
      <c r="D119" s="3" t="n">
        <v>4</v>
      </c>
      <c r="E119" s="3" t="inlineStr">
        <is>
          <t>SH</t>
        </is>
      </c>
      <c r="F119" s="3" t="inlineStr">
        <is>
          <t>UI</t>
        </is>
      </c>
      <c r="G119" s="3">
        <f>IFERROR(IF(INDEX('HMM Actors'!$B:$B,MATCH(E119,'HMM Actors'!$A:$A,0))="","(not assigned)",INDEX('HMM Actors'!$B:$B,MATCH(E119,'HMM Actors'!$A:$A,0))),"(not assigned)")</f>
        <v/>
      </c>
      <c r="H119" s="3">
        <f>IFERROR(IF(INDEX('HMM Locations'!$B:$B,MATCH(F119,'HMM Locations'!$A:$A,0))="","(not assigned)",INDEX('HMM Locations'!$B:$B,MATCH(F119,'HMM Locations'!$A:$A,0))),"(not assigned)")</f>
        <v/>
      </c>
      <c r="I119" s="3">
        <f>IFERROR(IF(INDEX('HMM Locations'!$C:$G,MATCH(F119,'HMM Locations'!$A:$A,0),D119)="","(not assigned)",INDEX('HMM Locations'!$C:$G,MATCH(F119,'HMM Locations'!$A:$A,0),D119)),"(not assigned)")</f>
        <v/>
      </c>
      <c r="J119" s="3">
        <f>IF(COUNTIF(G119:I119,"(not assigned)")=0,"Ready","Needs grid entry")</f>
        <v/>
      </c>
      <c r="K119" s="3" t="inlineStr"/>
      <c r="L119" s="3" t="inlineStr">
        <is>
          <t>睡觉</t>
        </is>
      </c>
    </row>
    <row r="120" ht="15.75" customHeight="1" s="9">
      <c r="A120" s="7" t="inlineStr">
        <is>
          <t>说</t>
        </is>
      </c>
      <c r="B120" s="7" t="n">
        <v>1</v>
      </c>
      <c r="C120" s="3" t="inlineStr">
        <is>
          <t>shuō</t>
        </is>
      </c>
      <c r="D120" s="3" t="n">
        <v>1</v>
      </c>
      <c r="E120" s="3" t="inlineStr">
        <is>
          <t>SH</t>
        </is>
      </c>
      <c r="F120" s="3" t="inlineStr">
        <is>
          <t>UO</t>
        </is>
      </c>
      <c r="G120" s="3">
        <f>IFERROR(IF(INDEX('HMM Actors'!$B:$B,MATCH(E120,'HMM Actors'!$A:$A,0))="","(not assigned)",INDEX('HMM Actors'!$B:$B,MATCH(E120,'HMM Actors'!$A:$A,0))),"(not assigned)")</f>
        <v/>
      </c>
      <c r="H120" s="3">
        <f>IFERROR(IF(INDEX('HMM Locations'!$B:$B,MATCH(F120,'HMM Locations'!$A:$A,0))="","(not assigned)",INDEX('HMM Locations'!$B:$B,MATCH(F120,'HMM Locations'!$A:$A,0))),"(not assigned)")</f>
        <v/>
      </c>
      <c r="I120" s="3">
        <f>IFERROR(IF(INDEX('HMM Locations'!$C:$G,MATCH(F120,'HMM Locations'!$A:$A,0),D120)="","(not assigned)",INDEX('HMM Locations'!$C:$G,MATCH(F120,'HMM Locations'!$A:$A,0),D120)),"(not assigned)")</f>
        <v/>
      </c>
      <c r="J120" s="3">
        <f>IF(COUNTIF(G120:I120,"(not assigned)")=0,"Ready","Needs grid entry")</f>
        <v/>
      </c>
      <c r="K120" s="3" t="inlineStr"/>
      <c r="L120" s="3" t="inlineStr">
        <is>
          <t>说、说话</t>
        </is>
      </c>
    </row>
    <row r="121" ht="15.75" customHeight="1" s="9">
      <c r="A121" s="7" t="inlineStr">
        <is>
          <t>四</t>
        </is>
      </c>
      <c r="B121" s="7" t="n">
        <v>1</v>
      </c>
      <c r="C121" s="3" t="inlineStr">
        <is>
          <t>sì</t>
        </is>
      </c>
      <c r="D121" s="3" t="n">
        <v>4</v>
      </c>
      <c r="E121" s="3" t="inlineStr">
        <is>
          <t>S</t>
        </is>
      </c>
      <c r="F121" s="3" t="inlineStr">
        <is>
          <t>Ø (no final)</t>
        </is>
      </c>
      <c r="G121" s="3">
        <f>IFERROR(IF(INDEX('HMM Actors'!$B:$B,MATCH(E121,'HMM Actors'!$A:$A,0))="","(not assigned)",INDEX('HMM Actors'!$B:$B,MATCH(E121,'HMM Actors'!$A:$A,0))),"(not assigned)")</f>
        <v/>
      </c>
      <c r="H121" s="3">
        <f>IFERROR(IF(INDEX('HMM Locations'!$B:$B,MATCH(F121,'HMM Locations'!$A:$A,0))="","(not assigned)",INDEX('HMM Locations'!$B:$B,MATCH(F121,'HMM Locations'!$A:$A,0))),"(not assigned)")</f>
        <v/>
      </c>
      <c r="I121" s="3">
        <f>IFERROR(IF(INDEX('HMM Locations'!$C:$G,MATCH(F121,'HMM Locations'!$A:$A,0),D121)="","(not assigned)",INDEX('HMM Locations'!$C:$G,MATCH(F121,'HMM Locations'!$A:$A,0),D121)),"(not assigned)")</f>
        <v/>
      </c>
      <c r="J121" s="3">
        <f>IF(COUNTIF(G121:I121,"(not assigned)")=0,"Ready","Needs grid entry")</f>
        <v/>
      </c>
      <c r="K121" s="3" t="inlineStr"/>
      <c r="L121" s="3" t="inlineStr">
        <is>
          <t>四</t>
        </is>
      </c>
    </row>
    <row r="122" ht="15.75" customHeight="1" s="9">
      <c r="A122" s="7" t="inlineStr">
        <is>
          <t>岁</t>
        </is>
      </c>
      <c r="B122" s="7" t="n">
        <v>1</v>
      </c>
      <c r="C122" s="3" t="inlineStr">
        <is>
          <t>suì</t>
        </is>
      </c>
      <c r="D122" s="3" t="n">
        <v>4</v>
      </c>
      <c r="E122" s="3" t="inlineStr">
        <is>
          <t>S</t>
        </is>
      </c>
      <c r="F122" s="3" t="inlineStr">
        <is>
          <t>UI</t>
        </is>
      </c>
      <c r="G122" s="3">
        <f>IFERROR(IF(INDEX('HMM Actors'!$B:$B,MATCH(E122,'HMM Actors'!$A:$A,0))="","(not assigned)",INDEX('HMM Actors'!$B:$B,MATCH(E122,'HMM Actors'!$A:$A,0))),"(not assigned)")</f>
        <v/>
      </c>
      <c r="H122" s="3">
        <f>IFERROR(IF(INDEX('HMM Locations'!$B:$B,MATCH(F122,'HMM Locations'!$A:$A,0))="","(not assigned)",INDEX('HMM Locations'!$B:$B,MATCH(F122,'HMM Locations'!$A:$A,0))),"(not assigned)")</f>
        <v/>
      </c>
      <c r="I122" s="3">
        <f>IFERROR(IF(INDEX('HMM Locations'!$C:$G,MATCH(F122,'HMM Locations'!$A:$A,0),D122)="","(not assigned)",INDEX('HMM Locations'!$C:$G,MATCH(F122,'HMM Locations'!$A:$A,0),D122)),"(not assigned)")</f>
        <v/>
      </c>
      <c r="J122" s="3">
        <f>IF(COUNTIF(G122:I122,"(not assigned)")=0,"Ready","Needs grid entry")</f>
        <v/>
      </c>
      <c r="K122" s="3" t="inlineStr"/>
      <c r="L122" s="3" t="inlineStr">
        <is>
          <t>岁</t>
        </is>
      </c>
    </row>
    <row r="123" ht="15.75" customHeight="1" s="9">
      <c r="A123" s="7" t="inlineStr">
        <is>
          <t>他</t>
        </is>
      </c>
      <c r="B123" s="7" t="n">
        <v>1</v>
      </c>
      <c r="C123" s="3" t="inlineStr">
        <is>
          <t>tā</t>
        </is>
      </c>
      <c r="D123" s="3" t="n">
        <v>1</v>
      </c>
      <c r="E123" s="3" t="inlineStr">
        <is>
          <t>T</t>
        </is>
      </c>
      <c r="F123" s="3" t="inlineStr">
        <is>
          <t>A</t>
        </is>
      </c>
      <c r="G123" s="3">
        <f>IFERROR(IF(INDEX('HMM Actors'!$B:$B,MATCH(E123,'HMM Actors'!$A:$A,0))="","(not assigned)",INDEX('HMM Actors'!$B:$B,MATCH(E123,'HMM Actors'!$A:$A,0))),"(not assigned)")</f>
        <v/>
      </c>
      <c r="H123" s="3">
        <f>IFERROR(IF(INDEX('HMM Locations'!$B:$B,MATCH(F123,'HMM Locations'!$A:$A,0))="","(not assigned)",INDEX('HMM Locations'!$B:$B,MATCH(F123,'HMM Locations'!$A:$A,0))),"(not assigned)")</f>
        <v/>
      </c>
      <c r="I123" s="3">
        <f>IFERROR(IF(INDEX('HMM Locations'!$C:$G,MATCH(F123,'HMM Locations'!$A:$A,0),D123)="","(not assigned)",INDEX('HMM Locations'!$C:$G,MATCH(F123,'HMM Locations'!$A:$A,0),D123)),"(not assigned)")</f>
        <v/>
      </c>
      <c r="J123" s="3">
        <f>IF(COUNTIF(G123:I123,"(not assigned)")=0,"Ready","Needs grid entry")</f>
        <v/>
      </c>
      <c r="K123" s="3" t="inlineStr"/>
      <c r="L123" s="3" t="inlineStr">
        <is>
          <t>他、其他</t>
        </is>
      </c>
    </row>
    <row r="124" ht="15.75" customHeight="1" s="9">
      <c r="A124" s="7" t="inlineStr">
        <is>
          <t>她</t>
        </is>
      </c>
      <c r="B124" s="7" t="n">
        <v>1</v>
      </c>
      <c r="C124" s="3" t="inlineStr">
        <is>
          <t>tā</t>
        </is>
      </c>
      <c r="D124" s="3" t="n">
        <v>1</v>
      </c>
      <c r="E124" s="3" t="inlineStr">
        <is>
          <t>T</t>
        </is>
      </c>
      <c r="F124" s="3" t="inlineStr">
        <is>
          <t>A</t>
        </is>
      </c>
      <c r="G124" s="3">
        <f>IFERROR(IF(INDEX('HMM Actors'!$B:$B,MATCH(E124,'HMM Actors'!$A:$A,0))="","(not assigned)",INDEX('HMM Actors'!$B:$B,MATCH(E124,'HMM Actors'!$A:$A,0))),"(not assigned)")</f>
        <v/>
      </c>
      <c r="H124" s="3">
        <f>IFERROR(IF(INDEX('HMM Locations'!$B:$B,MATCH(F124,'HMM Locations'!$A:$A,0))="","(not assigned)",INDEX('HMM Locations'!$B:$B,MATCH(F124,'HMM Locations'!$A:$A,0))),"(not assigned)")</f>
        <v/>
      </c>
      <c r="I124" s="3">
        <f>IFERROR(IF(INDEX('HMM Locations'!$C:$G,MATCH(F124,'HMM Locations'!$A:$A,0),D124)="","(not assigned)",INDEX('HMM Locations'!$C:$G,MATCH(F124,'HMM Locations'!$A:$A,0),D124)),"(not assigned)")</f>
        <v/>
      </c>
      <c r="J124" s="3">
        <f>IF(COUNTIF(G124:I124,"(not assigned)")=0,"Ready","Needs grid entry")</f>
        <v/>
      </c>
      <c r="K124" s="3" t="inlineStr"/>
      <c r="L124" s="3" t="inlineStr">
        <is>
          <t>她</t>
        </is>
      </c>
    </row>
    <row r="125" ht="15.75" customHeight="1" s="9">
      <c r="A125" s="7" t="inlineStr">
        <is>
          <t>太</t>
        </is>
      </c>
      <c r="B125" s="7" t="n">
        <v>1</v>
      </c>
      <c r="C125" s="3" t="inlineStr">
        <is>
          <t>tài</t>
        </is>
      </c>
      <c r="D125" s="3" t="n">
        <v>4</v>
      </c>
      <c r="E125" s="3" t="inlineStr">
        <is>
          <t>T</t>
        </is>
      </c>
      <c r="F125" s="3" t="inlineStr">
        <is>
          <t>AI</t>
        </is>
      </c>
      <c r="G125" s="3">
        <f>IFERROR(IF(INDEX('HMM Actors'!$B:$B,MATCH(E125,'HMM Actors'!$A:$A,0))="","(not assigned)",INDEX('HMM Actors'!$B:$B,MATCH(E125,'HMM Actors'!$A:$A,0))),"(not assigned)")</f>
        <v/>
      </c>
      <c r="H125" s="3">
        <f>IFERROR(IF(INDEX('HMM Locations'!$B:$B,MATCH(F125,'HMM Locations'!$A:$A,0))="","(not assigned)",INDEX('HMM Locations'!$B:$B,MATCH(F125,'HMM Locations'!$A:$A,0))),"(not assigned)")</f>
        <v/>
      </c>
      <c r="I125" s="3">
        <f>IFERROR(IF(INDEX('HMM Locations'!$C:$G,MATCH(F125,'HMM Locations'!$A:$A,0),D125)="","(not assigned)",INDEX('HMM Locations'!$C:$G,MATCH(F125,'HMM Locations'!$A:$A,0),D125)),"(not assigned)")</f>
        <v/>
      </c>
      <c r="J125" s="3">
        <f>IF(COUNTIF(G125:I125,"(not assigned)")=0,"Ready","Needs grid entry")</f>
        <v/>
      </c>
      <c r="K125" s="3" t="inlineStr"/>
      <c r="L125" s="3" t="inlineStr">
        <is>
          <t>太、太阳</t>
        </is>
      </c>
    </row>
    <row r="126" ht="15.75" customHeight="1" s="9">
      <c r="A126" s="7" t="inlineStr">
        <is>
          <t>天</t>
        </is>
      </c>
      <c r="B126" s="7" t="n">
        <v>1</v>
      </c>
      <c r="C126" s="3" t="inlineStr">
        <is>
          <t>tiān</t>
        </is>
      </c>
      <c r="D126" s="3" t="n">
        <v>1</v>
      </c>
      <c r="E126" s="3" t="inlineStr">
        <is>
          <t>T</t>
        </is>
      </c>
      <c r="F126" s="3" t="inlineStr">
        <is>
          <t>IAN</t>
        </is>
      </c>
      <c r="G126" s="3">
        <f>IFERROR(IF(INDEX('HMM Actors'!$B:$B,MATCH(E126,'HMM Actors'!$A:$A,0))="","(not assigned)",INDEX('HMM Actors'!$B:$B,MATCH(E126,'HMM Actors'!$A:$A,0))),"(not assigned)")</f>
        <v/>
      </c>
      <c r="H126" s="3">
        <f>IFERROR(IF(INDEX('HMM Locations'!$B:$B,MATCH(F126,'HMM Locations'!$A:$A,0))="","(not assigned)",INDEX('HMM Locations'!$B:$B,MATCH(F126,'HMM Locations'!$A:$A,0))),"(not assigned)")</f>
        <v/>
      </c>
      <c r="I126" s="3">
        <f>IFERROR(IF(INDEX('HMM Locations'!$C:$G,MATCH(F126,'HMM Locations'!$A:$A,0),D126)="","(not assigned)",INDEX('HMM Locations'!$C:$G,MATCH(F126,'HMM Locations'!$A:$A,0),D126)),"(not assigned)")</f>
        <v/>
      </c>
      <c r="J126" s="3">
        <f>IF(COUNTIF(G126:I126,"(not assigned)")=0,"Ready","Needs grid entry")</f>
        <v/>
      </c>
      <c r="K126" s="3" t="inlineStr"/>
      <c r="L126" s="3" t="inlineStr">
        <is>
          <t>今天、明天、天气、昨天</t>
        </is>
      </c>
    </row>
    <row r="127" ht="15.75" customHeight="1" s="9">
      <c r="A127" s="7" t="inlineStr">
        <is>
          <t>听</t>
        </is>
      </c>
      <c r="B127" s="7" t="n">
        <v>1</v>
      </c>
      <c r="C127" s="3" t="inlineStr">
        <is>
          <t>tīng</t>
        </is>
      </c>
      <c r="D127" s="3" t="n">
        <v>1</v>
      </c>
      <c r="E127" s="3" t="inlineStr">
        <is>
          <t>T</t>
        </is>
      </c>
      <c r="F127" s="3" t="inlineStr">
        <is>
          <t>ING</t>
        </is>
      </c>
      <c r="G127" s="3">
        <f>IFERROR(IF(INDEX('HMM Actors'!$B:$B,MATCH(E127,'HMM Actors'!$A:$A,0))="","(not assigned)",INDEX('HMM Actors'!$B:$B,MATCH(E127,'HMM Actors'!$A:$A,0))),"(not assigned)")</f>
        <v/>
      </c>
      <c r="H127" s="3">
        <f>IFERROR(IF(INDEX('HMM Locations'!$B:$B,MATCH(F127,'HMM Locations'!$A:$A,0))="","(not assigned)",INDEX('HMM Locations'!$B:$B,MATCH(F127,'HMM Locations'!$A:$A,0))),"(not assigned)")</f>
        <v/>
      </c>
      <c r="I127" s="3">
        <f>IFERROR(IF(INDEX('HMM Locations'!$C:$G,MATCH(F127,'HMM Locations'!$A:$A,0),D127)="","(not assigned)",INDEX('HMM Locations'!$C:$G,MATCH(F127,'HMM Locations'!$A:$A,0),D127)),"(not assigned)")</f>
        <v/>
      </c>
      <c r="J127" s="3">
        <f>IF(COUNTIF(G127:I127,"(not assigned)")=0,"Ready","Needs grid entry")</f>
        <v/>
      </c>
      <c r="K127" s="3" t="inlineStr"/>
      <c r="L127" s="3" t="inlineStr">
        <is>
          <t>听</t>
        </is>
      </c>
    </row>
    <row r="128" ht="15.75" customHeight="1" s="9">
      <c r="A128" s="7" t="inlineStr">
        <is>
          <t>同</t>
        </is>
      </c>
      <c r="B128" s="7" t="n">
        <v>1</v>
      </c>
      <c r="C128" s="3" t="inlineStr">
        <is>
          <t>tóng</t>
        </is>
      </c>
      <c r="D128" s="3" t="n">
        <v>2</v>
      </c>
      <c r="E128" s="3" t="inlineStr">
        <is>
          <t>T</t>
        </is>
      </c>
      <c r="F128" s="3" t="inlineStr">
        <is>
          <t>ONG</t>
        </is>
      </c>
      <c r="G128" s="3">
        <f>IFERROR(IF(INDEX('HMM Actors'!$B:$B,MATCH(E128,'HMM Actors'!$A:$A,0))="","(not assigned)",INDEX('HMM Actors'!$B:$B,MATCH(E128,'HMM Actors'!$A:$A,0))),"(not assigned)")</f>
        <v/>
      </c>
      <c r="H128" s="3">
        <f>IFERROR(IF(INDEX('HMM Locations'!$B:$B,MATCH(F128,'HMM Locations'!$A:$A,0))="","(not assigned)",INDEX('HMM Locations'!$B:$B,MATCH(F128,'HMM Locations'!$A:$A,0))),"(not assigned)")</f>
        <v/>
      </c>
      <c r="I128" s="3">
        <f>IFERROR(IF(INDEX('HMM Locations'!$C:$G,MATCH(F128,'HMM Locations'!$A:$A,0),D128)="","(not assigned)",INDEX('HMM Locations'!$C:$G,MATCH(F128,'HMM Locations'!$A:$A,0),D128)),"(not assigned)")</f>
        <v/>
      </c>
      <c r="J128" s="3">
        <f>IF(COUNTIF(G128:I128,"(not assigned)")=0,"Ready","Needs grid entry")</f>
        <v/>
      </c>
      <c r="K128" s="3" t="inlineStr"/>
      <c r="L128" s="3" t="inlineStr">
        <is>
          <t>同学、同事、同意</t>
        </is>
      </c>
    </row>
    <row r="129" ht="15.75" customHeight="1" s="9">
      <c r="A129" s="7" t="inlineStr">
        <is>
          <t>喂</t>
        </is>
      </c>
      <c r="B129" s="7" t="n">
        <v>1</v>
      </c>
      <c r="C129" s="3" t="inlineStr">
        <is>
          <t>wéi</t>
        </is>
      </c>
      <c r="D129" s="3" t="n">
        <v>2</v>
      </c>
      <c r="E129" s="3" t="inlineStr">
        <is>
          <t>W</t>
        </is>
      </c>
      <c r="F129" s="3" t="inlineStr">
        <is>
          <t>EI</t>
        </is>
      </c>
      <c r="G129" s="3">
        <f>IFERROR(IF(INDEX('HMM Actors'!$B:$B,MATCH(E129,'HMM Actors'!$A:$A,0))="","(not assigned)",INDEX('HMM Actors'!$B:$B,MATCH(E129,'HMM Actors'!$A:$A,0))),"(not assigned)")</f>
        <v/>
      </c>
      <c r="H129" s="3">
        <f>IFERROR(IF(INDEX('HMM Locations'!$B:$B,MATCH(F129,'HMM Locations'!$A:$A,0))="","(not assigned)",INDEX('HMM Locations'!$B:$B,MATCH(F129,'HMM Locations'!$A:$A,0))),"(not assigned)")</f>
        <v/>
      </c>
      <c r="I129" s="3">
        <f>IFERROR(IF(INDEX('HMM Locations'!$C:$G,MATCH(F129,'HMM Locations'!$A:$A,0),D129)="","(not assigned)",INDEX('HMM Locations'!$C:$G,MATCH(F129,'HMM Locations'!$A:$A,0),D129)),"(not assigned)")</f>
        <v/>
      </c>
      <c r="J129" s="3">
        <f>IF(COUNTIF(G129:I129,"(not assigned)")=0,"Ready","Needs grid entry")</f>
        <v/>
      </c>
      <c r="K129" s="3" t="inlineStr"/>
      <c r="L129" s="3" t="inlineStr">
        <is>
          <t>喂</t>
        </is>
      </c>
    </row>
    <row r="130" ht="15.75" customHeight="1" s="9">
      <c r="A130" s="7" t="inlineStr">
        <is>
          <t>我</t>
        </is>
      </c>
      <c r="B130" s="7" t="n">
        <v>1</v>
      </c>
      <c r="C130" s="3" t="inlineStr">
        <is>
          <t>wǒ</t>
        </is>
      </c>
      <c r="D130" s="3" t="n">
        <v>3</v>
      </c>
      <c r="E130" s="3" t="inlineStr">
        <is>
          <t>W</t>
        </is>
      </c>
      <c r="F130" s="3" t="inlineStr">
        <is>
          <t>O</t>
        </is>
      </c>
      <c r="G130" s="3">
        <f>IFERROR(IF(INDEX('HMM Actors'!$B:$B,MATCH(E130,'HMM Actors'!$A:$A,0))="","(not assigned)",INDEX('HMM Actors'!$B:$B,MATCH(E130,'HMM Actors'!$A:$A,0))),"(not assigned)")</f>
        <v/>
      </c>
      <c r="H130" s="3">
        <f>IFERROR(IF(INDEX('HMM Locations'!$B:$B,MATCH(F130,'HMM Locations'!$A:$A,0))="","(not assigned)",INDEX('HMM Locations'!$B:$B,MATCH(F130,'HMM Locations'!$A:$A,0))),"(not assigned)")</f>
        <v/>
      </c>
      <c r="I130" s="3">
        <f>IFERROR(IF(INDEX('HMM Locations'!$C:$G,MATCH(F130,'HMM Locations'!$A:$A,0),D130)="","(not assigned)",INDEX('HMM Locations'!$C:$G,MATCH(F130,'HMM Locations'!$A:$A,0),D130)),"(not assigned)")</f>
        <v/>
      </c>
      <c r="J130" s="3">
        <f>IF(COUNTIF(G130:I130,"(not assigned)")=0,"Ready","Needs grid entry")</f>
        <v/>
      </c>
      <c r="K130" s="3" t="inlineStr"/>
      <c r="L130" s="3" t="inlineStr">
        <is>
          <t>我、我们</t>
        </is>
      </c>
    </row>
    <row r="131" ht="15.75" customHeight="1" s="9">
      <c r="A131" s="7" t="inlineStr">
        <is>
          <t>五</t>
        </is>
      </c>
      <c r="B131" s="7" t="n">
        <v>1</v>
      </c>
      <c r="C131" s="3" t="inlineStr">
        <is>
          <t>wǔ</t>
        </is>
      </c>
      <c r="D131" s="3" t="n">
        <v>3</v>
      </c>
      <c r="E131" s="3" t="inlineStr">
        <is>
          <t>W</t>
        </is>
      </c>
      <c r="F131" s="3" t="inlineStr">
        <is>
          <t>U</t>
        </is>
      </c>
      <c r="G131" s="3">
        <f>IFERROR(IF(INDEX('HMM Actors'!$B:$B,MATCH(E131,'HMM Actors'!$A:$A,0))="","(not assigned)",INDEX('HMM Actors'!$B:$B,MATCH(E131,'HMM Actors'!$A:$A,0))),"(not assigned)")</f>
        <v/>
      </c>
      <c r="H131" s="3">
        <f>IFERROR(IF(INDEX('HMM Locations'!$B:$B,MATCH(F131,'HMM Locations'!$A:$A,0))="","(not assigned)",INDEX('HMM Locations'!$B:$B,MATCH(F131,'HMM Locations'!$A:$A,0))),"(not assigned)")</f>
        <v/>
      </c>
      <c r="I131" s="3">
        <f>IFERROR(IF(INDEX('HMM Locations'!$C:$G,MATCH(F131,'HMM Locations'!$A:$A,0),D131)="","(not assigned)",INDEX('HMM Locations'!$C:$G,MATCH(F131,'HMM Locations'!$A:$A,0),D131)),"(not assigned)")</f>
        <v/>
      </c>
      <c r="J131" s="3">
        <f>IF(COUNTIF(G131:I131,"(not assigned)")=0,"Ready","Needs grid entry")</f>
        <v/>
      </c>
      <c r="K131" s="3" t="inlineStr"/>
      <c r="L131" s="3" t="inlineStr">
        <is>
          <t>五</t>
        </is>
      </c>
    </row>
    <row r="132" ht="15.75" customHeight="1" s="9">
      <c r="A132" s="7" t="inlineStr">
        <is>
          <t>午</t>
        </is>
      </c>
      <c r="B132" s="7" t="n">
        <v>1</v>
      </c>
      <c r="C132" s="3" t="inlineStr">
        <is>
          <t>wǔ</t>
        </is>
      </c>
      <c r="D132" s="3" t="n">
        <v>3</v>
      </c>
      <c r="E132" s="3" t="inlineStr">
        <is>
          <t>W</t>
        </is>
      </c>
      <c r="F132" s="3" t="inlineStr">
        <is>
          <t>U</t>
        </is>
      </c>
      <c r="G132" s="3">
        <f>IFERROR(IF(INDEX('HMM Actors'!$B:$B,MATCH(E132,'HMM Actors'!$A:$A,0))="","(not assigned)",INDEX('HMM Actors'!$B:$B,MATCH(E132,'HMM Actors'!$A:$A,0))),"(not assigned)")</f>
        <v/>
      </c>
      <c r="H132" s="3">
        <f>IFERROR(IF(INDEX('HMM Locations'!$B:$B,MATCH(F132,'HMM Locations'!$A:$A,0))="","(not assigned)",INDEX('HMM Locations'!$B:$B,MATCH(F132,'HMM Locations'!$A:$A,0))),"(not assigned)")</f>
        <v/>
      </c>
      <c r="I132" s="3">
        <f>IFERROR(IF(INDEX('HMM Locations'!$C:$G,MATCH(F132,'HMM Locations'!$A:$A,0),D132)="","(not assigned)",INDEX('HMM Locations'!$C:$G,MATCH(F132,'HMM Locations'!$A:$A,0),D132)),"(not assigned)")</f>
        <v/>
      </c>
      <c r="J132" s="3">
        <f>IF(COUNTIF(G132:I132,"(not assigned)")=0,"Ready","Needs grid entry")</f>
        <v/>
      </c>
      <c r="K132" s="3" t="inlineStr"/>
      <c r="L132" s="3" t="inlineStr">
        <is>
          <t>上午、下午、中午</t>
        </is>
      </c>
    </row>
    <row r="133" ht="15.75" customHeight="1" s="9">
      <c r="A133" s="7" t="inlineStr">
        <is>
          <t>西</t>
        </is>
      </c>
      <c r="B133" s="7" t="n">
        <v>1</v>
      </c>
      <c r="C133" s="3" t="inlineStr">
        <is>
          <t>xī</t>
        </is>
      </c>
      <c r="D133" s="3" t="n">
        <v>1</v>
      </c>
      <c r="E133" s="3" t="inlineStr">
        <is>
          <t>X</t>
        </is>
      </c>
      <c r="F133" s="3" t="inlineStr">
        <is>
          <t>I</t>
        </is>
      </c>
      <c r="G133" s="3">
        <f>IFERROR(IF(INDEX('HMM Actors'!$B:$B,MATCH(E133,'HMM Actors'!$A:$A,0))="","(not assigned)",INDEX('HMM Actors'!$B:$B,MATCH(E133,'HMM Actors'!$A:$A,0))),"(not assigned)")</f>
        <v/>
      </c>
      <c r="H133" s="3">
        <f>IFERROR(IF(INDEX('HMM Locations'!$B:$B,MATCH(F133,'HMM Locations'!$A:$A,0))="","(not assigned)",INDEX('HMM Locations'!$B:$B,MATCH(F133,'HMM Locations'!$A:$A,0))),"(not assigned)")</f>
        <v/>
      </c>
      <c r="I133" s="3">
        <f>IFERROR(IF(INDEX('HMM Locations'!$C:$G,MATCH(F133,'HMM Locations'!$A:$A,0),D133)="","(not assigned)",INDEX('HMM Locations'!$C:$G,MATCH(F133,'HMM Locations'!$A:$A,0),D133)),"(not assigned)")</f>
        <v/>
      </c>
      <c r="J133" s="3">
        <f>IF(COUNTIF(G133:I133,"(not assigned)")=0,"Ready","Needs grid entry")</f>
        <v/>
      </c>
      <c r="K133" s="3" t="inlineStr"/>
      <c r="L133" s="3" t="inlineStr">
        <is>
          <t>东西、西瓜、西</t>
        </is>
      </c>
    </row>
    <row r="134" ht="15.75" customHeight="1" s="9">
      <c r="A134" s="7" t="inlineStr">
        <is>
          <t>习</t>
        </is>
      </c>
      <c r="B134" s="7" t="n">
        <v>1</v>
      </c>
      <c r="C134" s="3" t="inlineStr">
        <is>
          <t>xí</t>
        </is>
      </c>
      <c r="D134" s="3" t="n">
        <v>2</v>
      </c>
      <c r="E134" s="3" t="inlineStr">
        <is>
          <t>X</t>
        </is>
      </c>
      <c r="F134" s="3" t="inlineStr">
        <is>
          <t>I</t>
        </is>
      </c>
      <c r="G134" s="3">
        <f>IFERROR(IF(INDEX('HMM Actors'!$B:$B,MATCH(E134,'HMM Actors'!$A:$A,0))="","(not assigned)",INDEX('HMM Actors'!$B:$B,MATCH(E134,'HMM Actors'!$A:$A,0))),"(not assigned)")</f>
        <v/>
      </c>
      <c r="H134" s="3">
        <f>IFERROR(IF(INDEX('HMM Locations'!$B:$B,MATCH(F134,'HMM Locations'!$A:$A,0))="","(not assigned)",INDEX('HMM Locations'!$B:$B,MATCH(F134,'HMM Locations'!$A:$A,0))),"(not assigned)")</f>
        <v/>
      </c>
      <c r="I134" s="3">
        <f>IFERROR(IF(INDEX('HMM Locations'!$C:$G,MATCH(F134,'HMM Locations'!$A:$A,0),D134)="","(not assigned)",INDEX('HMM Locations'!$C:$G,MATCH(F134,'HMM Locations'!$A:$A,0),D134)),"(not assigned)")</f>
        <v/>
      </c>
      <c r="J134" s="3">
        <f>IF(COUNTIF(G134:I134,"(not assigned)")=0,"Ready","Needs grid entry")</f>
        <v/>
      </c>
      <c r="K134" s="3" t="inlineStr"/>
      <c r="L134" s="3" t="inlineStr">
        <is>
          <t>学习、复习、练习、习惯</t>
        </is>
      </c>
    </row>
    <row r="135" ht="15.75" customHeight="1" s="9">
      <c r="A135" s="7" t="inlineStr">
        <is>
          <t>喜</t>
        </is>
      </c>
      <c r="B135" s="7" t="n">
        <v>1</v>
      </c>
      <c r="C135" s="3" t="inlineStr">
        <is>
          <t>xǐ</t>
        </is>
      </c>
      <c r="D135" s="3" t="n">
        <v>3</v>
      </c>
      <c r="E135" s="3" t="inlineStr">
        <is>
          <t>X</t>
        </is>
      </c>
      <c r="F135" s="3" t="inlineStr">
        <is>
          <t>I</t>
        </is>
      </c>
      <c r="G135" s="3">
        <f>IFERROR(IF(INDEX('HMM Actors'!$B:$B,MATCH(E135,'HMM Actors'!$A:$A,0))="","(not assigned)",INDEX('HMM Actors'!$B:$B,MATCH(E135,'HMM Actors'!$A:$A,0))),"(not assigned)")</f>
        <v/>
      </c>
      <c r="H135" s="3">
        <f>IFERROR(IF(INDEX('HMM Locations'!$B:$B,MATCH(F135,'HMM Locations'!$A:$A,0))="","(not assigned)",INDEX('HMM Locations'!$B:$B,MATCH(F135,'HMM Locations'!$A:$A,0))),"(not assigned)")</f>
        <v/>
      </c>
      <c r="I135" s="3">
        <f>IFERROR(IF(INDEX('HMM Locations'!$C:$G,MATCH(F135,'HMM Locations'!$A:$A,0),D135)="","(not assigned)",INDEX('HMM Locations'!$C:$G,MATCH(F135,'HMM Locations'!$A:$A,0),D135)),"(not assigned)")</f>
        <v/>
      </c>
      <c r="J135" s="3">
        <f>IF(COUNTIF(G135:I135,"(not assigned)")=0,"Ready","Needs grid entry")</f>
        <v/>
      </c>
      <c r="K135" s="3" t="inlineStr"/>
      <c r="L135" s="3" t="inlineStr">
        <is>
          <t>喜欢</t>
        </is>
      </c>
    </row>
    <row r="136" ht="15.75" customHeight="1" s="9">
      <c r="A136" s="7" t="inlineStr">
        <is>
          <t>系</t>
        </is>
      </c>
      <c r="B136" s="7" t="n">
        <v>1</v>
      </c>
      <c r="C136" s="3" t="inlineStr">
        <is>
          <t>xì</t>
        </is>
      </c>
      <c r="D136" s="3" t="n">
        <v>4</v>
      </c>
      <c r="E136" s="3" t="inlineStr">
        <is>
          <t>X</t>
        </is>
      </c>
      <c r="F136" s="3" t="inlineStr">
        <is>
          <t>I</t>
        </is>
      </c>
      <c r="G136" s="3">
        <f>IFERROR(IF(INDEX('HMM Actors'!$B:$B,MATCH(E136,'HMM Actors'!$A:$A,0))="","(not assigned)",INDEX('HMM Actors'!$B:$B,MATCH(E136,'HMM Actors'!$A:$A,0))),"(not assigned)")</f>
        <v/>
      </c>
      <c r="H136" s="3">
        <f>IFERROR(IF(INDEX('HMM Locations'!$B:$B,MATCH(F136,'HMM Locations'!$A:$A,0))="","(not assigned)",INDEX('HMM Locations'!$B:$B,MATCH(F136,'HMM Locations'!$A:$A,0))),"(not assigned)")</f>
        <v/>
      </c>
      <c r="I136" s="3">
        <f>IFERROR(IF(INDEX('HMM Locations'!$C:$G,MATCH(F136,'HMM Locations'!$A:$A,0),D136)="","(not assigned)",INDEX('HMM Locations'!$C:$G,MATCH(F136,'HMM Locations'!$A:$A,0),D136)),"(not assigned)")</f>
        <v/>
      </c>
      <c r="J136" s="3">
        <f>IF(COUNTIF(G136:I136,"(not assigned)")=0,"Ready","Needs grid entry")</f>
        <v/>
      </c>
      <c r="K136" s="3" t="inlineStr"/>
      <c r="L136" s="3" t="inlineStr">
        <is>
          <t>没关系、关系</t>
        </is>
      </c>
    </row>
    <row r="137" ht="15.75" customHeight="1" s="9">
      <c r="A137" s="7" t="inlineStr">
        <is>
          <t>下</t>
        </is>
      </c>
      <c r="B137" s="7" t="n">
        <v>1</v>
      </c>
      <c r="C137" s="3" t="inlineStr">
        <is>
          <t>xià</t>
        </is>
      </c>
      <c r="D137" s="3" t="n">
        <v>4</v>
      </c>
      <c r="E137" s="3" t="inlineStr">
        <is>
          <t>X</t>
        </is>
      </c>
      <c r="F137" s="3" t="inlineStr">
        <is>
          <t>IA</t>
        </is>
      </c>
      <c r="G137" s="3">
        <f>IFERROR(IF(INDEX('HMM Actors'!$B:$B,MATCH(E137,'HMM Actors'!$A:$A,0))="","(not assigned)",INDEX('HMM Actors'!$B:$B,MATCH(E137,'HMM Actors'!$A:$A,0))),"(not assigned)")</f>
        <v/>
      </c>
      <c r="H137" s="3">
        <f>IFERROR(IF(INDEX('HMM Locations'!$B:$B,MATCH(F137,'HMM Locations'!$A:$A,0))="","(not assigned)",INDEX('HMM Locations'!$B:$B,MATCH(F137,'HMM Locations'!$A:$A,0))),"(not assigned)")</f>
        <v/>
      </c>
      <c r="I137" s="3">
        <f>IFERROR(IF(INDEX('HMM Locations'!$C:$G,MATCH(F137,'HMM Locations'!$A:$A,0),D137)="","(not assigned)",INDEX('HMM Locations'!$C:$G,MATCH(F137,'HMM Locations'!$A:$A,0),D137)),"(not assigned)")</f>
        <v/>
      </c>
      <c r="J137" s="3">
        <f>IF(COUNTIF(G137:I137,"(not assigned)")=0,"Ready","Needs grid entry")</f>
        <v/>
      </c>
      <c r="K137" s="3" t="inlineStr"/>
      <c r="L137" s="3" t="inlineStr">
        <is>
          <t>下、下午、下雨、一下</t>
        </is>
      </c>
    </row>
    <row r="138" ht="15.75" customHeight="1" s="9">
      <c r="A138" s="7" t="inlineStr">
        <is>
          <t>先</t>
        </is>
      </c>
      <c r="B138" s="7" t="n">
        <v>1</v>
      </c>
      <c r="C138" s="3" t="inlineStr">
        <is>
          <t>xiān</t>
        </is>
      </c>
      <c r="D138" s="3" t="n">
        <v>1</v>
      </c>
      <c r="E138" s="3" t="inlineStr">
        <is>
          <t>X</t>
        </is>
      </c>
      <c r="F138" s="3" t="inlineStr">
        <is>
          <t>IAN</t>
        </is>
      </c>
      <c r="G138" s="3">
        <f>IFERROR(IF(INDEX('HMM Actors'!$B:$B,MATCH(E138,'HMM Actors'!$A:$A,0))="","(not assigned)",INDEX('HMM Actors'!$B:$B,MATCH(E138,'HMM Actors'!$A:$A,0))),"(not assigned)")</f>
        <v/>
      </c>
      <c r="H138" s="3">
        <f>IFERROR(IF(INDEX('HMM Locations'!$B:$B,MATCH(F138,'HMM Locations'!$A:$A,0))="","(not assigned)",INDEX('HMM Locations'!$B:$B,MATCH(F138,'HMM Locations'!$A:$A,0))),"(not assigned)")</f>
        <v/>
      </c>
      <c r="I138" s="3">
        <f>IFERROR(IF(INDEX('HMM Locations'!$C:$G,MATCH(F138,'HMM Locations'!$A:$A,0),D138)="","(not assigned)",INDEX('HMM Locations'!$C:$G,MATCH(F138,'HMM Locations'!$A:$A,0),D138)),"(not assigned)")</f>
        <v/>
      </c>
      <c r="J138" s="3">
        <f>IF(COUNTIF(G138:I138,"(not assigned)")=0,"Ready","Needs grid entry")</f>
        <v/>
      </c>
      <c r="K138" s="3" t="inlineStr"/>
      <c r="L138" s="3" t="inlineStr">
        <is>
          <t>先生、先</t>
        </is>
      </c>
    </row>
    <row r="139" ht="15.75" customHeight="1" s="9">
      <c r="A139" s="7" t="inlineStr">
        <is>
          <t>现</t>
        </is>
      </c>
      <c r="B139" s="7" t="n">
        <v>1</v>
      </c>
      <c r="C139" s="3" t="inlineStr">
        <is>
          <t>xiàn</t>
        </is>
      </c>
      <c r="D139" s="3" t="n">
        <v>4</v>
      </c>
      <c r="E139" s="3" t="inlineStr">
        <is>
          <t>X</t>
        </is>
      </c>
      <c r="F139" s="3" t="inlineStr">
        <is>
          <t>IAN</t>
        </is>
      </c>
      <c r="G139" s="3">
        <f>IFERROR(IF(INDEX('HMM Actors'!$B:$B,MATCH(E139,'HMM Actors'!$A:$A,0))="","(not assigned)",INDEX('HMM Actors'!$B:$B,MATCH(E139,'HMM Actors'!$A:$A,0))),"(not assigned)")</f>
        <v/>
      </c>
      <c r="H139" s="3">
        <f>IFERROR(IF(INDEX('HMM Locations'!$B:$B,MATCH(F139,'HMM Locations'!$A:$A,0))="","(not assigned)",INDEX('HMM Locations'!$B:$B,MATCH(F139,'HMM Locations'!$A:$A,0))),"(not assigned)")</f>
        <v/>
      </c>
      <c r="I139" s="3">
        <f>IFERROR(IF(INDEX('HMM Locations'!$C:$G,MATCH(F139,'HMM Locations'!$A:$A,0),D139)="","(not assigned)",INDEX('HMM Locations'!$C:$G,MATCH(F139,'HMM Locations'!$A:$A,0),D139)),"(not assigned)")</f>
        <v/>
      </c>
      <c r="J139" s="3">
        <f>IF(COUNTIF(G139:I139,"(not assigned)")=0,"Ready","Needs grid entry")</f>
        <v/>
      </c>
      <c r="K139" s="3" t="inlineStr"/>
      <c r="L139" s="3" t="inlineStr">
        <is>
          <t>现在、发现</t>
        </is>
      </c>
    </row>
    <row r="140" ht="15.75" customHeight="1" s="9">
      <c r="A140" s="7" t="inlineStr">
        <is>
          <t>想</t>
        </is>
      </c>
      <c r="B140" s="7" t="n">
        <v>1</v>
      </c>
      <c r="C140" s="3" t="inlineStr">
        <is>
          <t>xiǎng</t>
        </is>
      </c>
      <c r="D140" s="3" t="n">
        <v>3</v>
      </c>
      <c r="E140" s="3" t="inlineStr">
        <is>
          <t>X</t>
        </is>
      </c>
      <c r="F140" s="3" t="inlineStr">
        <is>
          <t>IANG</t>
        </is>
      </c>
      <c r="G140" s="3">
        <f>IFERROR(IF(INDEX('HMM Actors'!$B:$B,MATCH(E140,'HMM Actors'!$A:$A,0))="","(not assigned)",INDEX('HMM Actors'!$B:$B,MATCH(E140,'HMM Actors'!$A:$A,0))),"(not assigned)")</f>
        <v/>
      </c>
      <c r="H140" s="3">
        <f>IFERROR(IF(INDEX('HMM Locations'!$B:$B,MATCH(F140,'HMM Locations'!$A:$A,0))="","(not assigned)",INDEX('HMM Locations'!$B:$B,MATCH(F140,'HMM Locations'!$A:$A,0))),"(not assigned)")</f>
        <v/>
      </c>
      <c r="I140" s="3">
        <f>IFERROR(IF(INDEX('HMM Locations'!$C:$G,MATCH(F140,'HMM Locations'!$A:$A,0),D140)="","(not assigned)",INDEX('HMM Locations'!$C:$G,MATCH(F140,'HMM Locations'!$A:$A,0),D140)),"(not assigned)")</f>
        <v/>
      </c>
      <c r="J140" s="3">
        <f>IF(COUNTIF(G140:I140,"(not assigned)")=0,"Ready","Needs grid entry")</f>
        <v/>
      </c>
      <c r="K140" s="3" t="inlineStr"/>
      <c r="L140" s="3" t="inlineStr">
        <is>
          <t>想</t>
        </is>
      </c>
    </row>
    <row r="141" ht="15.75" customHeight="1" s="9">
      <c r="A141" s="7" t="inlineStr">
        <is>
          <t>小</t>
        </is>
      </c>
      <c r="B141" s="7" t="n">
        <v>1</v>
      </c>
      <c r="C141" s="3" t="inlineStr">
        <is>
          <t>xiǎo</t>
        </is>
      </c>
      <c r="D141" s="3" t="n">
        <v>3</v>
      </c>
      <c r="E141" s="3" t="inlineStr">
        <is>
          <t>X</t>
        </is>
      </c>
      <c r="F141" s="3" t="inlineStr">
        <is>
          <t>IAO</t>
        </is>
      </c>
      <c r="G141" s="3">
        <f>IFERROR(IF(INDEX('HMM Actors'!$B:$B,MATCH(E141,'HMM Actors'!$A:$A,0))="","(not assigned)",INDEX('HMM Actors'!$B:$B,MATCH(E141,'HMM Actors'!$A:$A,0))),"(not assigned)")</f>
        <v/>
      </c>
      <c r="H141" s="3">
        <f>IFERROR(IF(INDEX('HMM Locations'!$B:$B,MATCH(F141,'HMM Locations'!$A:$A,0))="","(not assigned)",INDEX('HMM Locations'!$B:$B,MATCH(F141,'HMM Locations'!$A:$A,0))),"(not assigned)")</f>
        <v/>
      </c>
      <c r="I141" s="3">
        <f>IFERROR(IF(INDEX('HMM Locations'!$C:$G,MATCH(F141,'HMM Locations'!$A:$A,0),D141)="","(not assigned)",INDEX('HMM Locations'!$C:$G,MATCH(F141,'HMM Locations'!$A:$A,0),D141)),"(not assigned)")</f>
        <v/>
      </c>
      <c r="J141" s="3">
        <f>IF(COUNTIF(G141:I141,"(not assigned)")=0,"Ready","Needs grid entry")</f>
        <v/>
      </c>
      <c r="K141" s="3" t="inlineStr"/>
      <c r="L141" s="3" t="inlineStr">
        <is>
          <t>小、小姐、小时、小心</t>
        </is>
      </c>
    </row>
    <row r="142" ht="15.75" customHeight="1" s="9">
      <c r="A142" s="7" t="inlineStr">
        <is>
          <t>校</t>
        </is>
      </c>
      <c r="B142" s="7" t="n">
        <v>1</v>
      </c>
      <c r="C142" s="3" t="inlineStr">
        <is>
          <t>xiào</t>
        </is>
      </c>
      <c r="D142" s="3" t="n">
        <v>4</v>
      </c>
      <c r="E142" s="3" t="inlineStr">
        <is>
          <t>X</t>
        </is>
      </c>
      <c r="F142" s="3" t="inlineStr">
        <is>
          <t>IAO</t>
        </is>
      </c>
      <c r="G142" s="3">
        <f>IFERROR(IF(INDEX('HMM Actors'!$B:$B,MATCH(E142,'HMM Actors'!$A:$A,0))="","(not assigned)",INDEX('HMM Actors'!$B:$B,MATCH(E142,'HMM Actors'!$A:$A,0))),"(not assigned)")</f>
        <v/>
      </c>
      <c r="H142" s="3">
        <f>IFERROR(IF(INDEX('HMM Locations'!$B:$B,MATCH(F142,'HMM Locations'!$A:$A,0))="","(not assigned)",INDEX('HMM Locations'!$B:$B,MATCH(F142,'HMM Locations'!$A:$A,0))),"(not assigned)")</f>
        <v/>
      </c>
      <c r="I142" s="3">
        <f>IFERROR(IF(INDEX('HMM Locations'!$C:$G,MATCH(F142,'HMM Locations'!$A:$A,0),D142)="","(not assigned)",INDEX('HMM Locations'!$C:$G,MATCH(F142,'HMM Locations'!$A:$A,0),D142)),"(not assigned)")</f>
        <v/>
      </c>
      <c r="J142" s="3">
        <f>IF(COUNTIF(G142:I142,"(not assigned)")=0,"Ready","Needs grid entry")</f>
        <v/>
      </c>
      <c r="K142" s="3" t="inlineStr"/>
      <c r="L142" s="3" t="inlineStr">
        <is>
          <t>学校、校长</t>
        </is>
      </c>
    </row>
    <row r="143" ht="15.75" customHeight="1" s="9">
      <c r="A143" s="7" t="inlineStr">
        <is>
          <t>些</t>
        </is>
      </c>
      <c r="B143" s="7" t="n">
        <v>1</v>
      </c>
      <c r="C143" s="3" t="inlineStr">
        <is>
          <t>xiē</t>
        </is>
      </c>
      <c r="D143" s="3" t="n">
        <v>1</v>
      </c>
      <c r="E143" s="3" t="inlineStr">
        <is>
          <t>X</t>
        </is>
      </c>
      <c r="F143" s="3" t="inlineStr">
        <is>
          <t>IE</t>
        </is>
      </c>
      <c r="G143" s="3">
        <f>IFERROR(IF(INDEX('HMM Actors'!$B:$B,MATCH(E143,'HMM Actors'!$A:$A,0))="","(not assigned)",INDEX('HMM Actors'!$B:$B,MATCH(E143,'HMM Actors'!$A:$A,0))),"(not assigned)")</f>
        <v/>
      </c>
      <c r="H143" s="3">
        <f>IFERROR(IF(INDEX('HMM Locations'!$B:$B,MATCH(F143,'HMM Locations'!$A:$A,0))="","(not assigned)",INDEX('HMM Locations'!$B:$B,MATCH(F143,'HMM Locations'!$A:$A,0))),"(not assigned)")</f>
        <v/>
      </c>
      <c r="I143" s="3">
        <f>IFERROR(IF(INDEX('HMM Locations'!$C:$G,MATCH(F143,'HMM Locations'!$A:$A,0),D143)="","(not assigned)",INDEX('HMM Locations'!$C:$G,MATCH(F143,'HMM Locations'!$A:$A,0),D143)),"(not assigned)")</f>
        <v/>
      </c>
      <c r="J143" s="3">
        <f>IF(COUNTIF(G143:I143,"(not assigned)")=0,"Ready","Needs grid entry")</f>
        <v/>
      </c>
      <c r="K143" s="3" t="inlineStr"/>
      <c r="L143" s="3" t="inlineStr">
        <is>
          <t>些</t>
        </is>
      </c>
    </row>
    <row r="144" ht="15.75" customHeight="1" s="9">
      <c r="A144" s="7" t="inlineStr">
        <is>
          <t>写</t>
        </is>
      </c>
      <c r="B144" s="7" t="n">
        <v>1</v>
      </c>
      <c r="C144" s="3" t="inlineStr">
        <is>
          <t>xiě</t>
        </is>
      </c>
      <c r="D144" s="3" t="n">
        <v>3</v>
      </c>
      <c r="E144" s="3" t="inlineStr">
        <is>
          <t>X</t>
        </is>
      </c>
      <c r="F144" s="3" t="inlineStr">
        <is>
          <t>IE</t>
        </is>
      </c>
      <c r="G144" s="3">
        <f>IFERROR(IF(INDEX('HMM Actors'!$B:$B,MATCH(E144,'HMM Actors'!$A:$A,0))="","(not assigned)",INDEX('HMM Actors'!$B:$B,MATCH(E144,'HMM Actors'!$A:$A,0))),"(not assigned)")</f>
        <v/>
      </c>
      <c r="H144" s="3">
        <f>IFERROR(IF(INDEX('HMM Locations'!$B:$B,MATCH(F144,'HMM Locations'!$A:$A,0))="","(not assigned)",INDEX('HMM Locations'!$B:$B,MATCH(F144,'HMM Locations'!$A:$A,0))),"(not assigned)")</f>
        <v/>
      </c>
      <c r="I144" s="3">
        <f>IFERROR(IF(INDEX('HMM Locations'!$C:$G,MATCH(F144,'HMM Locations'!$A:$A,0),D144)="","(not assigned)",INDEX('HMM Locations'!$C:$G,MATCH(F144,'HMM Locations'!$A:$A,0),D144)),"(not assigned)")</f>
        <v/>
      </c>
      <c r="J144" s="3">
        <f>IF(COUNTIF(G144:I144,"(not assigned)")=0,"Ready","Needs grid entry")</f>
        <v/>
      </c>
      <c r="K144" s="3" t="inlineStr"/>
      <c r="L144" s="3" t="inlineStr">
        <is>
          <t>写</t>
        </is>
      </c>
    </row>
    <row r="145" ht="15.75" customHeight="1" s="9">
      <c r="A145" s="7" t="inlineStr">
        <is>
          <t>谢</t>
        </is>
      </c>
      <c r="B145" s="7" t="n">
        <v>1</v>
      </c>
      <c r="C145" s="3" t="inlineStr">
        <is>
          <t>xiè</t>
        </is>
      </c>
      <c r="D145" s="3" t="n">
        <v>4</v>
      </c>
      <c r="E145" s="3" t="inlineStr">
        <is>
          <t>X</t>
        </is>
      </c>
      <c r="F145" s="3" t="inlineStr">
        <is>
          <t>IE</t>
        </is>
      </c>
      <c r="G145" s="3">
        <f>IFERROR(IF(INDEX('HMM Actors'!$B:$B,MATCH(E145,'HMM Actors'!$A:$A,0))="","(not assigned)",INDEX('HMM Actors'!$B:$B,MATCH(E145,'HMM Actors'!$A:$A,0))),"(not assigned)")</f>
        <v/>
      </c>
      <c r="H145" s="3">
        <f>IFERROR(IF(INDEX('HMM Locations'!$B:$B,MATCH(F145,'HMM Locations'!$A:$A,0))="","(not assigned)",INDEX('HMM Locations'!$B:$B,MATCH(F145,'HMM Locations'!$A:$A,0))),"(not assigned)")</f>
        <v/>
      </c>
      <c r="I145" s="3">
        <f>IFERROR(IF(INDEX('HMM Locations'!$C:$G,MATCH(F145,'HMM Locations'!$A:$A,0),D145)="","(not assigned)",INDEX('HMM Locations'!$C:$G,MATCH(F145,'HMM Locations'!$A:$A,0),D145)),"(not assigned)")</f>
        <v/>
      </c>
      <c r="J145" s="3">
        <f>IF(COUNTIF(G145:I145,"(not assigned)")=0,"Ready","Needs grid entry")</f>
        <v/>
      </c>
      <c r="K145" s="3" t="inlineStr"/>
      <c r="L145" s="3" t="inlineStr">
        <is>
          <t>谢谢</t>
        </is>
      </c>
    </row>
    <row r="146" ht="15.75" customHeight="1" s="9">
      <c r="A146" s="7" t="inlineStr">
        <is>
          <t>星</t>
        </is>
      </c>
      <c r="B146" s="7" t="n">
        <v>1</v>
      </c>
      <c r="C146" s="3" t="inlineStr">
        <is>
          <t>xīng</t>
        </is>
      </c>
      <c r="D146" s="3" t="n">
        <v>1</v>
      </c>
      <c r="E146" s="3" t="inlineStr">
        <is>
          <t>X</t>
        </is>
      </c>
      <c r="F146" s="3" t="inlineStr">
        <is>
          <t>ING</t>
        </is>
      </c>
      <c r="G146" s="3">
        <f>IFERROR(IF(INDEX('HMM Actors'!$B:$B,MATCH(E146,'HMM Actors'!$A:$A,0))="","(not assigned)",INDEX('HMM Actors'!$B:$B,MATCH(E146,'HMM Actors'!$A:$A,0))),"(not assigned)")</f>
        <v/>
      </c>
      <c r="H146" s="3">
        <f>IFERROR(IF(INDEX('HMM Locations'!$B:$B,MATCH(F146,'HMM Locations'!$A:$A,0))="","(not assigned)",INDEX('HMM Locations'!$B:$B,MATCH(F146,'HMM Locations'!$A:$A,0))),"(not assigned)")</f>
        <v/>
      </c>
      <c r="I146" s="3">
        <f>IFERROR(IF(INDEX('HMM Locations'!$C:$G,MATCH(F146,'HMM Locations'!$A:$A,0),D146)="","(not assigned)",INDEX('HMM Locations'!$C:$G,MATCH(F146,'HMM Locations'!$A:$A,0),D146)),"(not assigned)")</f>
        <v/>
      </c>
      <c r="J146" s="3">
        <f>IF(COUNTIF(G146:I146,"(not assigned)")=0,"Ready","Needs grid entry")</f>
        <v/>
      </c>
      <c r="K146" s="3" t="inlineStr"/>
      <c r="L146" s="3" t="inlineStr">
        <is>
          <t>星期</t>
        </is>
      </c>
    </row>
    <row r="147" ht="15.75" customHeight="1" s="9">
      <c r="A147" s="7" t="inlineStr">
        <is>
          <t>兴</t>
        </is>
      </c>
      <c r="B147" s="7" t="n">
        <v>1</v>
      </c>
      <c r="C147" s="3" t="inlineStr">
        <is>
          <t>xìng</t>
        </is>
      </c>
      <c r="D147" s="3" t="n">
        <v>4</v>
      </c>
      <c r="E147" s="3" t="inlineStr">
        <is>
          <t>X</t>
        </is>
      </c>
      <c r="F147" s="3" t="inlineStr">
        <is>
          <t>ING</t>
        </is>
      </c>
      <c r="G147" s="3">
        <f>IFERROR(IF(INDEX('HMM Actors'!$B:$B,MATCH(E147,'HMM Actors'!$A:$A,0))="","(not assigned)",INDEX('HMM Actors'!$B:$B,MATCH(E147,'HMM Actors'!$A:$A,0))),"(not assigned)")</f>
        <v/>
      </c>
      <c r="H147" s="3">
        <f>IFERROR(IF(INDEX('HMM Locations'!$B:$B,MATCH(F147,'HMM Locations'!$A:$A,0))="","(not assigned)",INDEX('HMM Locations'!$B:$B,MATCH(F147,'HMM Locations'!$A:$A,0))),"(not assigned)")</f>
        <v/>
      </c>
      <c r="I147" s="3">
        <f>IFERROR(IF(INDEX('HMM Locations'!$C:$G,MATCH(F147,'HMM Locations'!$A:$A,0),D147)="","(not assigned)",INDEX('HMM Locations'!$C:$G,MATCH(F147,'HMM Locations'!$A:$A,0),D147)),"(not assigned)")</f>
        <v/>
      </c>
      <c r="J147" s="3">
        <f>IF(COUNTIF(G147:I147,"(not assigned)")=0,"Ready","Needs grid entry")</f>
        <v/>
      </c>
      <c r="K147" s="3" t="inlineStr"/>
      <c r="L147" s="3" t="inlineStr">
        <is>
          <t>高兴、感兴趣</t>
        </is>
      </c>
    </row>
    <row r="148" ht="15.75" customHeight="1" s="9">
      <c r="A148" s="7" t="inlineStr">
        <is>
          <t>学</t>
        </is>
      </c>
      <c r="B148" s="7" t="n">
        <v>1</v>
      </c>
      <c r="C148" s="3" t="inlineStr">
        <is>
          <t>xué</t>
        </is>
      </c>
      <c r="D148" s="3" t="n">
        <v>2</v>
      </c>
      <c r="E148" s="3" t="inlineStr">
        <is>
          <t>X</t>
        </is>
      </c>
      <c r="F148" s="3" t="inlineStr">
        <is>
          <t>UE</t>
        </is>
      </c>
      <c r="G148" s="3">
        <f>IFERROR(IF(INDEX('HMM Actors'!$B:$B,MATCH(E148,'HMM Actors'!$A:$A,0))="","(not assigned)",INDEX('HMM Actors'!$B:$B,MATCH(E148,'HMM Actors'!$A:$A,0))),"(not assigned)")</f>
        <v/>
      </c>
      <c r="H148" s="3">
        <f>IFERROR(IF(INDEX('HMM Locations'!$B:$B,MATCH(F148,'HMM Locations'!$A:$A,0))="","(not assigned)",INDEX('HMM Locations'!$B:$B,MATCH(F148,'HMM Locations'!$A:$A,0))),"(not assigned)")</f>
        <v/>
      </c>
      <c r="I148" s="3">
        <f>IFERROR(IF(INDEX('HMM Locations'!$C:$G,MATCH(F148,'HMM Locations'!$A:$A,0),D148)="","(not assigned)",INDEX('HMM Locations'!$C:$G,MATCH(F148,'HMM Locations'!$A:$A,0),D148)),"(not assigned)")</f>
        <v/>
      </c>
      <c r="J148" s="3">
        <f>IF(COUNTIF(G148:I148,"(not assigned)")=0,"Ready","Needs grid entry")</f>
        <v/>
      </c>
      <c r="K148" s="3" t="inlineStr"/>
      <c r="L148" s="3" t="inlineStr">
        <is>
          <t>同学、学生、学习、学校</t>
        </is>
      </c>
    </row>
    <row r="149" ht="15.75" customHeight="1" s="9">
      <c r="A149" s="7" t="inlineStr">
        <is>
          <t>样</t>
        </is>
      </c>
      <c r="B149" s="7" t="n">
        <v>1</v>
      </c>
      <c r="C149" s="3" t="inlineStr">
        <is>
          <t>yàng</t>
        </is>
      </c>
      <c r="D149" s="3" t="n">
        <v>4</v>
      </c>
      <c r="E149" s="3" t="inlineStr">
        <is>
          <t>Y</t>
        </is>
      </c>
      <c r="F149" s="3" t="inlineStr">
        <is>
          <t>ANG</t>
        </is>
      </c>
      <c r="G149" s="3">
        <f>IFERROR(IF(INDEX('HMM Actors'!$B:$B,MATCH(E149,'HMM Actors'!$A:$A,0))="","(not assigned)",INDEX('HMM Actors'!$B:$B,MATCH(E149,'HMM Actors'!$A:$A,0))),"(not assigned)")</f>
        <v/>
      </c>
      <c r="H149" s="3">
        <f>IFERROR(IF(INDEX('HMM Locations'!$B:$B,MATCH(F149,'HMM Locations'!$A:$A,0))="","(not assigned)",INDEX('HMM Locations'!$B:$B,MATCH(F149,'HMM Locations'!$A:$A,0))),"(not assigned)")</f>
        <v/>
      </c>
      <c r="I149" s="3">
        <f>IFERROR(IF(INDEX('HMM Locations'!$C:$G,MATCH(F149,'HMM Locations'!$A:$A,0),D149)="","(not assigned)",INDEX('HMM Locations'!$C:$G,MATCH(F149,'HMM Locations'!$A:$A,0),D149)),"(not assigned)")</f>
        <v/>
      </c>
      <c r="J149" s="3">
        <f>IF(COUNTIF(G149:I149,"(not assigned)")=0,"Ready","Needs grid entry")</f>
        <v/>
      </c>
      <c r="K149" s="3" t="inlineStr"/>
      <c r="L149" s="3" t="inlineStr">
        <is>
          <t>怎么样、一样</t>
        </is>
      </c>
    </row>
    <row r="150" ht="15.75" customHeight="1" s="9">
      <c r="A150" s="7" t="inlineStr">
        <is>
          <t>一</t>
        </is>
      </c>
      <c r="B150" s="7" t="n">
        <v>1</v>
      </c>
      <c r="C150" s="3" t="inlineStr">
        <is>
          <t>yī</t>
        </is>
      </c>
      <c r="D150" s="3" t="n">
        <v>1</v>
      </c>
      <c r="E150" s="3" t="inlineStr">
        <is>
          <t>Y</t>
        </is>
      </c>
      <c r="F150" s="3" t="inlineStr">
        <is>
          <t>I</t>
        </is>
      </c>
      <c r="G150" s="3">
        <f>IFERROR(IF(INDEX('HMM Actors'!$B:$B,MATCH(E150,'HMM Actors'!$A:$A,0))="","(not assigned)",INDEX('HMM Actors'!$B:$B,MATCH(E150,'HMM Actors'!$A:$A,0))),"(not assigned)")</f>
        <v/>
      </c>
      <c r="H150" s="3">
        <f>IFERROR(IF(INDEX('HMM Locations'!$B:$B,MATCH(F150,'HMM Locations'!$A:$A,0))="","(not assigned)",INDEX('HMM Locations'!$B:$B,MATCH(F150,'HMM Locations'!$A:$A,0))),"(not assigned)")</f>
        <v/>
      </c>
      <c r="I150" s="3">
        <f>IFERROR(IF(INDEX('HMM Locations'!$C:$G,MATCH(F150,'HMM Locations'!$A:$A,0),D150)="","(not assigned)",INDEX('HMM Locations'!$C:$G,MATCH(F150,'HMM Locations'!$A:$A,0),D150)),"(not assigned)")</f>
        <v/>
      </c>
      <c r="J150" s="3">
        <f>IF(COUNTIF(G150:I150,"(not assigned)")=0,"Ready","Needs grid entry")</f>
        <v/>
      </c>
      <c r="K150" s="3" t="inlineStr">
        <is>
          <t>yì, yí</t>
        </is>
      </c>
      <c r="L150" s="3" t="inlineStr">
        <is>
          <t>一、一点儿、第一、一下</t>
        </is>
      </c>
    </row>
    <row r="151" ht="15.75" customHeight="1" s="9">
      <c r="A151" s="7" t="inlineStr">
        <is>
          <t>衣</t>
        </is>
      </c>
      <c r="B151" s="7" t="n">
        <v>1</v>
      </c>
      <c r="C151" s="3" t="inlineStr">
        <is>
          <t>yī</t>
        </is>
      </c>
      <c r="D151" s="3" t="n">
        <v>1</v>
      </c>
      <c r="E151" s="3" t="inlineStr">
        <is>
          <t>Y</t>
        </is>
      </c>
      <c r="F151" s="3" t="inlineStr">
        <is>
          <t>I</t>
        </is>
      </c>
      <c r="G151" s="3">
        <f>IFERROR(IF(INDEX('HMM Actors'!$B:$B,MATCH(E151,'HMM Actors'!$A:$A,0))="","(not assigned)",INDEX('HMM Actors'!$B:$B,MATCH(E151,'HMM Actors'!$A:$A,0))),"(not assigned)")</f>
        <v/>
      </c>
      <c r="H151" s="3">
        <f>IFERROR(IF(INDEX('HMM Locations'!$B:$B,MATCH(F151,'HMM Locations'!$A:$A,0))="","(not assigned)",INDEX('HMM Locations'!$B:$B,MATCH(F151,'HMM Locations'!$A:$A,0))),"(not assigned)")</f>
        <v/>
      </c>
      <c r="I151" s="3">
        <f>IFERROR(IF(INDEX('HMM Locations'!$C:$G,MATCH(F151,'HMM Locations'!$A:$A,0),D151)="","(not assigned)",INDEX('HMM Locations'!$C:$G,MATCH(F151,'HMM Locations'!$A:$A,0),D151)),"(not assigned)")</f>
        <v/>
      </c>
      <c r="J151" s="3">
        <f>IF(COUNTIF(G151:I151,"(not assigned)")=0,"Ready","Needs grid entry")</f>
        <v/>
      </c>
      <c r="K151" s="3" t="inlineStr"/>
      <c r="L151" s="3" t="inlineStr">
        <is>
          <t>衣服</t>
        </is>
      </c>
    </row>
    <row r="152" ht="15.75" customHeight="1" s="9">
      <c r="A152" s="7" t="inlineStr">
        <is>
          <t>医</t>
        </is>
      </c>
      <c r="B152" s="7" t="n">
        <v>1</v>
      </c>
      <c r="C152" s="3" t="inlineStr">
        <is>
          <t>yī</t>
        </is>
      </c>
      <c r="D152" s="3" t="n">
        <v>1</v>
      </c>
      <c r="E152" s="3" t="inlineStr">
        <is>
          <t>Y</t>
        </is>
      </c>
      <c r="F152" s="3" t="inlineStr">
        <is>
          <t>I</t>
        </is>
      </c>
      <c r="G152" s="3">
        <f>IFERROR(IF(INDEX('HMM Actors'!$B:$B,MATCH(E152,'HMM Actors'!$A:$A,0))="","(not assigned)",INDEX('HMM Actors'!$B:$B,MATCH(E152,'HMM Actors'!$A:$A,0))),"(not assigned)")</f>
        <v/>
      </c>
      <c r="H152" s="3">
        <f>IFERROR(IF(INDEX('HMM Locations'!$B:$B,MATCH(F152,'HMM Locations'!$A:$A,0))="","(not assigned)",INDEX('HMM Locations'!$B:$B,MATCH(F152,'HMM Locations'!$A:$A,0))),"(not assigned)")</f>
        <v/>
      </c>
      <c r="I152" s="3">
        <f>IFERROR(IF(INDEX('HMM Locations'!$C:$G,MATCH(F152,'HMM Locations'!$A:$A,0),D152)="","(not assigned)",INDEX('HMM Locations'!$C:$G,MATCH(F152,'HMM Locations'!$A:$A,0),D152)),"(not assigned)")</f>
        <v/>
      </c>
      <c r="J152" s="3">
        <f>IF(COUNTIF(G152:I152,"(not assigned)")=0,"Ready","Needs grid entry")</f>
        <v/>
      </c>
      <c r="K152" s="3" t="inlineStr"/>
      <c r="L152" s="3" t="inlineStr">
        <is>
          <t>医生、医院</t>
        </is>
      </c>
    </row>
    <row r="153" ht="15.75" customHeight="1" s="9">
      <c r="A153" s="7" t="inlineStr">
        <is>
          <t>椅</t>
        </is>
      </c>
      <c r="B153" s="7" t="n">
        <v>1</v>
      </c>
      <c r="C153" s="3" t="inlineStr">
        <is>
          <t>yǐ</t>
        </is>
      </c>
      <c r="D153" s="3" t="n">
        <v>3</v>
      </c>
      <c r="E153" s="3" t="inlineStr">
        <is>
          <t>Y</t>
        </is>
      </c>
      <c r="F153" s="3" t="inlineStr">
        <is>
          <t>I</t>
        </is>
      </c>
      <c r="G153" s="3">
        <f>IFERROR(IF(INDEX('HMM Actors'!$B:$B,MATCH(E153,'HMM Actors'!$A:$A,0))="","(not assigned)",INDEX('HMM Actors'!$B:$B,MATCH(E153,'HMM Actors'!$A:$A,0))),"(not assigned)")</f>
        <v/>
      </c>
      <c r="H153" s="3">
        <f>IFERROR(IF(INDEX('HMM Locations'!$B:$B,MATCH(F153,'HMM Locations'!$A:$A,0))="","(not assigned)",INDEX('HMM Locations'!$B:$B,MATCH(F153,'HMM Locations'!$A:$A,0))),"(not assigned)")</f>
        <v/>
      </c>
      <c r="I153" s="3">
        <f>IFERROR(IF(INDEX('HMM Locations'!$C:$G,MATCH(F153,'HMM Locations'!$A:$A,0),D153)="","(not assigned)",INDEX('HMM Locations'!$C:$G,MATCH(F153,'HMM Locations'!$A:$A,0),D153)),"(not assigned)")</f>
        <v/>
      </c>
      <c r="J153" s="3">
        <f>IF(COUNTIF(G153:I153,"(not assigned)")=0,"Ready","Needs grid entry")</f>
        <v/>
      </c>
      <c r="K153" s="3" t="inlineStr"/>
      <c r="L153" s="3" t="inlineStr">
        <is>
          <t>椅子</t>
        </is>
      </c>
    </row>
    <row r="154" ht="15.75" customHeight="1" s="9">
      <c r="A154" s="7" t="inlineStr">
        <is>
          <t>影</t>
        </is>
      </c>
      <c r="B154" s="7" t="n">
        <v>1</v>
      </c>
      <c r="C154" s="3" t="inlineStr">
        <is>
          <t>yǐng</t>
        </is>
      </c>
      <c r="D154" s="3" t="n">
        <v>3</v>
      </c>
      <c r="E154" s="3" t="inlineStr">
        <is>
          <t>Y</t>
        </is>
      </c>
      <c r="F154" s="3" t="inlineStr">
        <is>
          <t>ING</t>
        </is>
      </c>
      <c r="G154" s="3">
        <f>IFERROR(IF(INDEX('HMM Actors'!$B:$B,MATCH(E154,'HMM Actors'!$A:$A,0))="","(not assigned)",INDEX('HMM Actors'!$B:$B,MATCH(E154,'HMM Actors'!$A:$A,0))),"(not assigned)")</f>
        <v/>
      </c>
      <c r="H154" s="3">
        <f>IFERROR(IF(INDEX('HMM Locations'!$B:$B,MATCH(F154,'HMM Locations'!$A:$A,0))="","(not assigned)",INDEX('HMM Locations'!$B:$B,MATCH(F154,'HMM Locations'!$A:$A,0))),"(not assigned)")</f>
        <v/>
      </c>
      <c r="I154" s="3">
        <f>IFERROR(IF(INDEX('HMM Locations'!$C:$G,MATCH(F154,'HMM Locations'!$A:$A,0),D154)="","(not assigned)",INDEX('HMM Locations'!$C:$G,MATCH(F154,'HMM Locations'!$A:$A,0),D154)),"(not assigned)")</f>
        <v/>
      </c>
      <c r="J154" s="3">
        <f>IF(COUNTIF(G154:I154,"(not assigned)")=0,"Ready","Needs grid entry")</f>
        <v/>
      </c>
      <c r="K154" s="3" t="inlineStr"/>
      <c r="L154" s="3" t="inlineStr">
        <is>
          <t>电影、影响</t>
        </is>
      </c>
    </row>
    <row r="155" ht="15.75" customHeight="1" s="9">
      <c r="A155" s="7" t="inlineStr">
        <is>
          <t>友</t>
        </is>
      </c>
      <c r="B155" s="7" t="n">
        <v>1</v>
      </c>
      <c r="C155" s="3" t="inlineStr">
        <is>
          <t>yǒu</t>
        </is>
      </c>
      <c r="D155" s="3" t="n">
        <v>3</v>
      </c>
      <c r="E155" s="3" t="inlineStr">
        <is>
          <t>Y</t>
        </is>
      </c>
      <c r="F155" s="3" t="inlineStr">
        <is>
          <t>OU</t>
        </is>
      </c>
      <c r="G155" s="3">
        <f>IFERROR(IF(INDEX('HMM Actors'!$B:$B,MATCH(E155,'HMM Actors'!$A:$A,0))="","(not assigned)",INDEX('HMM Actors'!$B:$B,MATCH(E155,'HMM Actors'!$A:$A,0))),"(not assigned)")</f>
        <v/>
      </c>
      <c r="H155" s="3">
        <f>IFERROR(IF(INDEX('HMM Locations'!$B:$B,MATCH(F155,'HMM Locations'!$A:$A,0))="","(not assigned)",INDEX('HMM Locations'!$B:$B,MATCH(F155,'HMM Locations'!$A:$A,0))),"(not assigned)")</f>
        <v/>
      </c>
      <c r="I155" s="3">
        <f>IFERROR(IF(INDEX('HMM Locations'!$C:$G,MATCH(F155,'HMM Locations'!$A:$A,0),D155)="","(not assigned)",INDEX('HMM Locations'!$C:$G,MATCH(F155,'HMM Locations'!$A:$A,0),D155)),"(not assigned)")</f>
        <v/>
      </c>
      <c r="J155" s="3">
        <f>IF(COUNTIF(G155:I155,"(not assigned)")=0,"Ready","Needs grid entry")</f>
        <v/>
      </c>
      <c r="K155" s="3" t="inlineStr"/>
      <c r="L155" s="3" t="inlineStr">
        <is>
          <t>朋友</t>
        </is>
      </c>
    </row>
    <row r="156" ht="15.75" customHeight="1" s="9">
      <c r="A156" s="7" t="inlineStr">
        <is>
          <t>有</t>
        </is>
      </c>
      <c r="B156" s="7" t="n">
        <v>1</v>
      </c>
      <c r="C156" s="3" t="inlineStr">
        <is>
          <t>yǒu</t>
        </is>
      </c>
      <c r="D156" s="3" t="n">
        <v>3</v>
      </c>
      <c r="E156" s="3" t="inlineStr">
        <is>
          <t>Y</t>
        </is>
      </c>
      <c r="F156" s="3" t="inlineStr">
        <is>
          <t>OU</t>
        </is>
      </c>
      <c r="G156" s="3">
        <f>IFERROR(IF(INDEX('HMM Actors'!$B:$B,MATCH(E156,'HMM Actors'!$A:$A,0))="","(not assigned)",INDEX('HMM Actors'!$B:$B,MATCH(E156,'HMM Actors'!$A:$A,0))),"(not assigned)")</f>
        <v/>
      </c>
      <c r="H156" s="3">
        <f>IFERROR(IF(INDEX('HMM Locations'!$B:$B,MATCH(F156,'HMM Locations'!$A:$A,0))="","(not assigned)",INDEX('HMM Locations'!$B:$B,MATCH(F156,'HMM Locations'!$A:$A,0))),"(not assigned)")</f>
        <v/>
      </c>
      <c r="I156" s="3">
        <f>IFERROR(IF(INDEX('HMM Locations'!$C:$G,MATCH(F156,'HMM Locations'!$A:$A,0),D156)="","(not assigned)",INDEX('HMM Locations'!$C:$G,MATCH(F156,'HMM Locations'!$A:$A,0),D156)),"(not assigned)")</f>
        <v/>
      </c>
      <c r="J156" s="3">
        <f>IF(COUNTIF(G156:I156,"(not assigned)")=0,"Ready","Needs grid entry")</f>
        <v/>
      </c>
      <c r="K156" s="3" t="inlineStr"/>
      <c r="L156" s="3" t="inlineStr">
        <is>
          <t>没有、有、有名、只有…才…</t>
        </is>
      </c>
    </row>
    <row r="157" ht="15.75" customHeight="1" s="9">
      <c r="A157" s="7" t="inlineStr">
        <is>
          <t>雨</t>
        </is>
      </c>
      <c r="B157" s="7" t="n">
        <v>1</v>
      </c>
      <c r="C157" s="3" t="inlineStr">
        <is>
          <t>yǔ</t>
        </is>
      </c>
      <c r="D157" s="3" t="n">
        <v>3</v>
      </c>
      <c r="E157" s="3" t="inlineStr">
        <is>
          <t>Y</t>
        </is>
      </c>
      <c r="F157" s="3" t="inlineStr">
        <is>
          <t>U</t>
        </is>
      </c>
      <c r="G157" s="3">
        <f>IFERROR(IF(INDEX('HMM Actors'!$B:$B,MATCH(E157,'HMM Actors'!$A:$A,0))="","(not assigned)",INDEX('HMM Actors'!$B:$B,MATCH(E157,'HMM Actors'!$A:$A,0))),"(not assigned)")</f>
        <v/>
      </c>
      <c r="H157" s="3">
        <f>IFERROR(IF(INDEX('HMM Locations'!$B:$B,MATCH(F157,'HMM Locations'!$A:$A,0))="","(not assigned)",INDEX('HMM Locations'!$B:$B,MATCH(F157,'HMM Locations'!$A:$A,0))),"(not assigned)")</f>
        <v/>
      </c>
      <c r="I157" s="3">
        <f>IFERROR(IF(INDEX('HMM Locations'!$C:$G,MATCH(F157,'HMM Locations'!$A:$A,0),D157)="","(not assigned)",INDEX('HMM Locations'!$C:$G,MATCH(F157,'HMM Locations'!$A:$A,0),D157)),"(not assigned)")</f>
        <v/>
      </c>
      <c r="J157" s="3">
        <f>IF(COUNTIF(G157:I157,"(not assigned)")=0,"Ready","Needs grid entry")</f>
        <v/>
      </c>
      <c r="K157" s="3" t="inlineStr"/>
      <c r="L157" s="3" t="inlineStr">
        <is>
          <t>下雨</t>
        </is>
      </c>
    </row>
    <row r="158" ht="15.75" customHeight="1" s="9">
      <c r="A158" s="7" t="inlineStr">
        <is>
          <t>语</t>
        </is>
      </c>
      <c r="B158" s="7" t="n">
        <v>1</v>
      </c>
      <c r="C158" s="3" t="inlineStr">
        <is>
          <t>yǔ</t>
        </is>
      </c>
      <c r="D158" s="3" t="n">
        <v>3</v>
      </c>
      <c r="E158" s="3" t="inlineStr">
        <is>
          <t>Y</t>
        </is>
      </c>
      <c r="F158" s="3" t="inlineStr">
        <is>
          <t>U</t>
        </is>
      </c>
      <c r="G158" s="3">
        <f>IFERROR(IF(INDEX('HMM Actors'!$B:$B,MATCH(E158,'HMM Actors'!$A:$A,0))="","(not assigned)",INDEX('HMM Actors'!$B:$B,MATCH(E158,'HMM Actors'!$A:$A,0))),"(not assigned)")</f>
        <v/>
      </c>
      <c r="H158" s="3">
        <f>IFERROR(IF(INDEX('HMM Locations'!$B:$B,MATCH(F158,'HMM Locations'!$A:$A,0))="","(not assigned)",INDEX('HMM Locations'!$B:$B,MATCH(F158,'HMM Locations'!$A:$A,0))),"(not assigned)")</f>
        <v/>
      </c>
      <c r="I158" s="3">
        <f>IFERROR(IF(INDEX('HMM Locations'!$C:$G,MATCH(F158,'HMM Locations'!$A:$A,0),D158)="","(not assigned)",INDEX('HMM Locations'!$C:$G,MATCH(F158,'HMM Locations'!$A:$A,0),D158)),"(not assigned)")</f>
        <v/>
      </c>
      <c r="J158" s="3">
        <f>IF(COUNTIF(G158:I158,"(not assigned)")=0,"Ready","Needs grid entry")</f>
        <v/>
      </c>
      <c r="K158" s="3" t="inlineStr"/>
      <c r="L158" s="3" t="inlineStr">
        <is>
          <t>汉语</t>
        </is>
      </c>
    </row>
    <row r="159" ht="15.75" customHeight="1" s="9">
      <c r="A159" s="7" t="inlineStr">
        <is>
          <t>院</t>
        </is>
      </c>
      <c r="B159" s="7" t="n">
        <v>1</v>
      </c>
      <c r="C159" s="3" t="inlineStr">
        <is>
          <t>yuàn</t>
        </is>
      </c>
      <c r="D159" s="3" t="n">
        <v>4</v>
      </c>
      <c r="E159" s="3" t="inlineStr">
        <is>
          <t>Y</t>
        </is>
      </c>
      <c r="F159" s="3" t="inlineStr">
        <is>
          <t>UAN (14th, Jacob-specific)</t>
        </is>
      </c>
      <c r="G159" s="3">
        <f>IFERROR(IF(INDEX('HMM Actors'!$B:$B,MATCH(E159,'HMM Actors'!$A:$A,0))="","(not assigned)",INDEX('HMM Actors'!$B:$B,MATCH(E159,'HMM Actors'!$A:$A,0))),"(not assigned)")</f>
        <v/>
      </c>
      <c r="H159" s="3">
        <f>IFERROR(IF(INDEX('HMM Locations'!$B:$B,MATCH(F159,'HMM Locations'!$A:$A,0))="","(not assigned)",INDEX('HMM Locations'!$B:$B,MATCH(F159,'HMM Locations'!$A:$A,0))),"(not assigned)")</f>
        <v/>
      </c>
      <c r="I159" s="3">
        <f>IFERROR(IF(INDEX('HMM Locations'!$C:$G,MATCH(F159,'HMM Locations'!$A:$A,0),D159)="","(not assigned)",INDEX('HMM Locations'!$C:$G,MATCH(F159,'HMM Locations'!$A:$A,0),D159)),"(not assigned)")</f>
        <v/>
      </c>
      <c r="J159" s="3">
        <f>IF(COUNTIF(G159:I159,"(not assigned)")=0,"Ready","Needs grid entry")</f>
        <v/>
      </c>
      <c r="K159" s="3" t="inlineStr"/>
      <c r="L159" s="3" t="inlineStr">
        <is>
          <t>医院</t>
        </is>
      </c>
    </row>
    <row r="160" ht="15.75" customHeight="1" s="9">
      <c r="A160" s="7" t="inlineStr">
        <is>
          <t>月</t>
        </is>
      </c>
      <c r="B160" s="7" t="n">
        <v>1</v>
      </c>
      <c r="C160" s="3" t="inlineStr">
        <is>
          <t>yuè</t>
        </is>
      </c>
      <c r="D160" s="3" t="n">
        <v>4</v>
      </c>
      <c r="E160" s="3" t="inlineStr">
        <is>
          <t>Y</t>
        </is>
      </c>
      <c r="F160" s="3" t="inlineStr">
        <is>
          <t>UE</t>
        </is>
      </c>
      <c r="G160" s="3">
        <f>IFERROR(IF(INDEX('HMM Actors'!$B:$B,MATCH(E160,'HMM Actors'!$A:$A,0))="","(not assigned)",INDEX('HMM Actors'!$B:$B,MATCH(E160,'HMM Actors'!$A:$A,0))),"(not assigned)")</f>
        <v/>
      </c>
      <c r="H160" s="3">
        <f>IFERROR(IF(INDEX('HMM Locations'!$B:$B,MATCH(F160,'HMM Locations'!$A:$A,0))="","(not assigned)",INDEX('HMM Locations'!$B:$B,MATCH(F160,'HMM Locations'!$A:$A,0))),"(not assigned)")</f>
        <v/>
      </c>
      <c r="I160" s="3">
        <f>IFERROR(IF(INDEX('HMM Locations'!$C:$G,MATCH(F160,'HMM Locations'!$A:$A,0),D160)="","(not assigned)",INDEX('HMM Locations'!$C:$G,MATCH(F160,'HMM Locations'!$A:$A,0),D160)),"(not assigned)")</f>
        <v/>
      </c>
      <c r="J160" s="3">
        <f>IF(COUNTIF(G160:I160,"(not assigned)")=0,"Ready","Needs grid entry")</f>
        <v/>
      </c>
      <c r="K160" s="3" t="inlineStr"/>
      <c r="L160" s="3" t="inlineStr">
        <is>
          <t>月、月亮</t>
        </is>
      </c>
    </row>
    <row r="161" ht="15.75" customHeight="1" s="9">
      <c r="A161" s="7" t="inlineStr">
        <is>
          <t>再</t>
        </is>
      </c>
      <c r="B161" s="7" t="n">
        <v>1</v>
      </c>
      <c r="C161" s="3" t="inlineStr">
        <is>
          <t>zài</t>
        </is>
      </c>
      <c r="D161" s="3" t="n">
        <v>4</v>
      </c>
      <c r="E161" s="3" t="inlineStr">
        <is>
          <t>Z</t>
        </is>
      </c>
      <c r="F161" s="3" t="inlineStr">
        <is>
          <t>AI</t>
        </is>
      </c>
      <c r="G161" s="3">
        <f>IFERROR(IF(INDEX('HMM Actors'!$B:$B,MATCH(E161,'HMM Actors'!$A:$A,0))="","(not assigned)",INDEX('HMM Actors'!$B:$B,MATCH(E161,'HMM Actors'!$A:$A,0))),"(not assigned)")</f>
        <v/>
      </c>
      <c r="H161" s="3">
        <f>IFERROR(IF(INDEX('HMM Locations'!$B:$B,MATCH(F161,'HMM Locations'!$A:$A,0))="","(not assigned)",INDEX('HMM Locations'!$B:$B,MATCH(F161,'HMM Locations'!$A:$A,0))),"(not assigned)")</f>
        <v/>
      </c>
      <c r="I161" s="3">
        <f>IFERROR(IF(INDEX('HMM Locations'!$C:$G,MATCH(F161,'HMM Locations'!$A:$A,0),D161)="","(not assigned)",INDEX('HMM Locations'!$C:$G,MATCH(F161,'HMM Locations'!$A:$A,0),D161)),"(not assigned)")</f>
        <v/>
      </c>
      <c r="J161" s="3">
        <f>IF(COUNTIF(G161:I161,"(not assigned)")=0,"Ready","Needs grid entry")</f>
        <v/>
      </c>
      <c r="K161" s="3" t="inlineStr"/>
      <c r="L161" s="3" t="inlineStr">
        <is>
          <t>再见、再</t>
        </is>
      </c>
    </row>
    <row r="162" ht="15.75" customHeight="1" s="9">
      <c r="A162" s="7" t="inlineStr">
        <is>
          <t>在</t>
        </is>
      </c>
      <c r="B162" s="7" t="n">
        <v>1</v>
      </c>
      <c r="C162" s="3" t="inlineStr">
        <is>
          <t>zài</t>
        </is>
      </c>
      <c r="D162" s="3" t="n">
        <v>4</v>
      </c>
      <c r="E162" s="3" t="inlineStr">
        <is>
          <t>Z</t>
        </is>
      </c>
      <c r="F162" s="3" t="inlineStr">
        <is>
          <t>AI</t>
        </is>
      </c>
      <c r="G162" s="3">
        <f>IFERROR(IF(INDEX('HMM Actors'!$B:$B,MATCH(E162,'HMM Actors'!$A:$A,0))="","(not assigned)",INDEX('HMM Actors'!$B:$B,MATCH(E162,'HMM Actors'!$A:$A,0))),"(not assigned)")</f>
        <v/>
      </c>
      <c r="H162" s="3">
        <f>IFERROR(IF(INDEX('HMM Locations'!$B:$B,MATCH(F162,'HMM Locations'!$A:$A,0))="","(not assigned)",INDEX('HMM Locations'!$B:$B,MATCH(F162,'HMM Locations'!$A:$A,0))),"(not assigned)")</f>
        <v/>
      </c>
      <c r="I162" s="3">
        <f>IFERROR(IF(INDEX('HMM Locations'!$C:$G,MATCH(F162,'HMM Locations'!$A:$A,0),D162)="","(not assigned)",INDEX('HMM Locations'!$C:$G,MATCH(F162,'HMM Locations'!$A:$A,0),D162)),"(not assigned)")</f>
        <v/>
      </c>
      <c r="J162" s="3">
        <f>IF(COUNTIF(G162:I162,"(not assigned)")=0,"Ready","Needs grid entry")</f>
        <v/>
      </c>
      <c r="K162" s="3" t="inlineStr"/>
      <c r="L162" s="3" t="inlineStr">
        <is>
          <t>现在、在、正在</t>
        </is>
      </c>
    </row>
    <row r="163" ht="15.75" customHeight="1" s="9">
      <c r="A163" s="7" t="inlineStr">
        <is>
          <t>怎</t>
        </is>
      </c>
      <c r="B163" s="7" t="n">
        <v>1</v>
      </c>
      <c r="C163" s="3" t="inlineStr">
        <is>
          <t>zěn</t>
        </is>
      </c>
      <c r="D163" s="3" t="n">
        <v>3</v>
      </c>
      <c r="E163" s="3" t="inlineStr">
        <is>
          <t>Z</t>
        </is>
      </c>
      <c r="F163" s="3" t="inlineStr">
        <is>
          <t>(E)N</t>
        </is>
      </c>
      <c r="G163" s="3">
        <f>IFERROR(IF(INDEX('HMM Actors'!$B:$B,MATCH(E163,'HMM Actors'!$A:$A,0))="","(not assigned)",INDEX('HMM Actors'!$B:$B,MATCH(E163,'HMM Actors'!$A:$A,0))),"(not assigned)")</f>
        <v/>
      </c>
      <c r="H163" s="3">
        <f>IFERROR(IF(INDEX('HMM Locations'!$B:$B,MATCH(F163,'HMM Locations'!$A:$A,0))="","(not assigned)",INDEX('HMM Locations'!$B:$B,MATCH(F163,'HMM Locations'!$A:$A,0))),"(not assigned)")</f>
        <v/>
      </c>
      <c r="I163" s="3">
        <f>IFERROR(IF(INDEX('HMM Locations'!$C:$G,MATCH(F163,'HMM Locations'!$A:$A,0),D163)="","(not assigned)",INDEX('HMM Locations'!$C:$G,MATCH(F163,'HMM Locations'!$A:$A,0),D163)),"(not assigned)")</f>
        <v/>
      </c>
      <c r="J163" s="3">
        <f>IF(COUNTIF(G163:I163,"(not assigned)")=0,"Ready","Needs grid entry")</f>
        <v/>
      </c>
      <c r="K163" s="3" t="inlineStr"/>
      <c r="L163" s="3" t="inlineStr">
        <is>
          <t>怎么、怎么样</t>
        </is>
      </c>
    </row>
    <row r="164" ht="15.75" customHeight="1" s="9">
      <c r="A164" s="7" t="inlineStr">
        <is>
          <t>这</t>
        </is>
      </c>
      <c r="B164" s="7" t="n">
        <v>1</v>
      </c>
      <c r="C164" s="3" t="inlineStr">
        <is>
          <t>zhè</t>
        </is>
      </c>
      <c r="D164" s="3" t="n">
        <v>4</v>
      </c>
      <c r="E164" s="3" t="inlineStr">
        <is>
          <t>ZH</t>
        </is>
      </c>
      <c r="F164" s="3" t="inlineStr">
        <is>
          <t>E</t>
        </is>
      </c>
      <c r="G164" s="3">
        <f>IFERROR(IF(INDEX('HMM Actors'!$B:$B,MATCH(E164,'HMM Actors'!$A:$A,0))="","(not assigned)",INDEX('HMM Actors'!$B:$B,MATCH(E164,'HMM Actors'!$A:$A,0))),"(not assigned)")</f>
        <v/>
      </c>
      <c r="H164" s="3">
        <f>IFERROR(IF(INDEX('HMM Locations'!$B:$B,MATCH(F164,'HMM Locations'!$A:$A,0))="","(not assigned)",INDEX('HMM Locations'!$B:$B,MATCH(F164,'HMM Locations'!$A:$A,0))),"(not assigned)")</f>
        <v/>
      </c>
      <c r="I164" s="3">
        <f>IFERROR(IF(INDEX('HMM Locations'!$C:$G,MATCH(F164,'HMM Locations'!$A:$A,0),D164)="","(not assigned)",INDEX('HMM Locations'!$C:$G,MATCH(F164,'HMM Locations'!$A:$A,0),D164)),"(not assigned)")</f>
        <v/>
      </c>
      <c r="J164" s="3">
        <f>IF(COUNTIF(G164:I164,"(not assigned)")=0,"Ready","Needs grid entry")</f>
        <v/>
      </c>
      <c r="K164" s="3" t="inlineStr"/>
      <c r="L164" s="3" t="inlineStr">
        <is>
          <t>这</t>
        </is>
      </c>
    </row>
    <row r="165" ht="15.75" customHeight="1" s="9">
      <c r="A165" s="7" t="inlineStr">
        <is>
          <t>中</t>
        </is>
      </c>
      <c r="B165" s="7" t="n">
        <v>1</v>
      </c>
      <c r="C165" s="3" t="inlineStr">
        <is>
          <t>zhōng</t>
        </is>
      </c>
      <c r="D165" s="3" t="n">
        <v>1</v>
      </c>
      <c r="E165" s="3" t="inlineStr">
        <is>
          <t>ZH</t>
        </is>
      </c>
      <c r="F165" s="3" t="inlineStr">
        <is>
          <t>ONG</t>
        </is>
      </c>
      <c r="G165" s="3">
        <f>IFERROR(IF(INDEX('HMM Actors'!$B:$B,MATCH(E165,'HMM Actors'!$A:$A,0))="","(not assigned)",INDEX('HMM Actors'!$B:$B,MATCH(E165,'HMM Actors'!$A:$A,0))),"(not assigned)")</f>
        <v/>
      </c>
      <c r="H165" s="3">
        <f>IFERROR(IF(INDEX('HMM Locations'!$B:$B,MATCH(F165,'HMM Locations'!$A:$A,0))="","(not assigned)",INDEX('HMM Locations'!$B:$B,MATCH(F165,'HMM Locations'!$A:$A,0))),"(not assigned)")</f>
        <v/>
      </c>
      <c r="I165" s="3">
        <f>IFERROR(IF(INDEX('HMM Locations'!$C:$G,MATCH(F165,'HMM Locations'!$A:$A,0),D165)="","(not assigned)",INDEX('HMM Locations'!$C:$G,MATCH(F165,'HMM Locations'!$A:$A,0),D165)),"(not assigned)")</f>
        <v/>
      </c>
      <c r="J165" s="3">
        <f>IF(COUNTIF(G165:I165,"(not assigned)")=0,"Ready","Needs grid entry")</f>
        <v/>
      </c>
      <c r="K165" s="3" t="inlineStr"/>
      <c r="L165" s="3" t="inlineStr">
        <is>
          <t>中国、中午、中间、中文</t>
        </is>
      </c>
    </row>
    <row r="166" ht="15.75" customHeight="1" s="9">
      <c r="A166" s="7" t="inlineStr">
        <is>
          <t>钟</t>
        </is>
      </c>
      <c r="B166" s="7" t="n">
        <v>1</v>
      </c>
      <c r="C166" s="3" t="inlineStr">
        <is>
          <t>zhōng</t>
        </is>
      </c>
      <c r="D166" s="3" t="n">
        <v>1</v>
      </c>
      <c r="E166" s="3" t="inlineStr">
        <is>
          <t>ZH</t>
        </is>
      </c>
      <c r="F166" s="3" t="inlineStr">
        <is>
          <t>ONG</t>
        </is>
      </c>
      <c r="G166" s="3">
        <f>IFERROR(IF(INDEX('HMM Actors'!$B:$B,MATCH(E166,'HMM Actors'!$A:$A,0))="","(not assigned)",INDEX('HMM Actors'!$B:$B,MATCH(E166,'HMM Actors'!$A:$A,0))),"(not assigned)")</f>
        <v/>
      </c>
      <c r="H166" s="3">
        <f>IFERROR(IF(INDEX('HMM Locations'!$B:$B,MATCH(F166,'HMM Locations'!$A:$A,0))="","(not assigned)",INDEX('HMM Locations'!$B:$B,MATCH(F166,'HMM Locations'!$A:$A,0))),"(not assigned)")</f>
        <v/>
      </c>
      <c r="I166" s="3">
        <f>IFERROR(IF(INDEX('HMM Locations'!$C:$G,MATCH(F166,'HMM Locations'!$A:$A,0),D166)="","(not assigned)",INDEX('HMM Locations'!$C:$G,MATCH(F166,'HMM Locations'!$A:$A,0),D166)),"(not assigned)")</f>
        <v/>
      </c>
      <c r="J166" s="3">
        <f>IF(COUNTIF(G166:I166,"(not assigned)")=0,"Ready","Needs grid entry")</f>
        <v/>
      </c>
      <c r="K166" s="3" t="inlineStr"/>
      <c r="L166" s="3" t="inlineStr">
        <is>
          <t>分钟</t>
        </is>
      </c>
    </row>
    <row r="167" ht="15.75" customHeight="1" s="9">
      <c r="A167" s="7" t="inlineStr">
        <is>
          <t>住</t>
        </is>
      </c>
      <c r="B167" s="7" t="n">
        <v>1</v>
      </c>
      <c r="C167" s="3" t="inlineStr">
        <is>
          <t>zhù</t>
        </is>
      </c>
      <c r="D167" s="3" t="n">
        <v>4</v>
      </c>
      <c r="E167" s="3" t="inlineStr">
        <is>
          <t>ZH</t>
        </is>
      </c>
      <c r="F167" s="3" t="inlineStr">
        <is>
          <t>U</t>
        </is>
      </c>
      <c r="G167" s="3">
        <f>IFERROR(IF(INDEX('HMM Actors'!$B:$B,MATCH(E167,'HMM Actors'!$A:$A,0))="","(not assigned)",INDEX('HMM Actors'!$B:$B,MATCH(E167,'HMM Actors'!$A:$A,0))),"(not assigned)")</f>
        <v/>
      </c>
      <c r="H167" s="3">
        <f>IFERROR(IF(INDEX('HMM Locations'!$B:$B,MATCH(F167,'HMM Locations'!$A:$A,0))="","(not assigned)",INDEX('HMM Locations'!$B:$B,MATCH(F167,'HMM Locations'!$A:$A,0))),"(not assigned)")</f>
        <v/>
      </c>
      <c r="I167" s="3">
        <f>IFERROR(IF(INDEX('HMM Locations'!$C:$G,MATCH(F167,'HMM Locations'!$A:$A,0),D167)="","(not assigned)",INDEX('HMM Locations'!$C:$G,MATCH(F167,'HMM Locations'!$A:$A,0),D167)),"(not assigned)")</f>
        <v/>
      </c>
      <c r="J167" s="3">
        <f>IF(COUNTIF(G167:I167,"(not assigned)")=0,"Ready","Needs grid entry")</f>
        <v/>
      </c>
      <c r="K167" s="3" t="inlineStr"/>
      <c r="L167" s="3" t="inlineStr">
        <is>
          <t>住</t>
        </is>
      </c>
    </row>
    <row r="168" ht="15.75" customHeight="1" s="9">
      <c r="A168" s="7" t="inlineStr">
        <is>
          <t>桌</t>
        </is>
      </c>
      <c r="B168" s="7" t="n">
        <v>1</v>
      </c>
      <c r="C168" s="3" t="inlineStr">
        <is>
          <t>zhuō</t>
        </is>
      </c>
      <c r="D168" s="3" t="n">
        <v>1</v>
      </c>
      <c r="E168" s="3" t="inlineStr">
        <is>
          <t>ZH</t>
        </is>
      </c>
      <c r="F168" s="3" t="inlineStr">
        <is>
          <t>UO</t>
        </is>
      </c>
      <c r="G168" s="3">
        <f>IFERROR(IF(INDEX('HMM Actors'!$B:$B,MATCH(E168,'HMM Actors'!$A:$A,0))="","(not assigned)",INDEX('HMM Actors'!$B:$B,MATCH(E168,'HMM Actors'!$A:$A,0))),"(not assigned)")</f>
        <v/>
      </c>
      <c r="H168" s="3">
        <f>IFERROR(IF(INDEX('HMM Locations'!$B:$B,MATCH(F168,'HMM Locations'!$A:$A,0))="","(not assigned)",INDEX('HMM Locations'!$B:$B,MATCH(F168,'HMM Locations'!$A:$A,0))),"(not assigned)")</f>
        <v/>
      </c>
      <c r="I168" s="3">
        <f>IFERROR(IF(INDEX('HMM Locations'!$C:$G,MATCH(F168,'HMM Locations'!$A:$A,0),D168)="","(not assigned)",INDEX('HMM Locations'!$C:$G,MATCH(F168,'HMM Locations'!$A:$A,0),D168)),"(not assigned)")</f>
        <v/>
      </c>
      <c r="J168" s="3">
        <f>IF(COUNTIF(G168:I168,"(not assigned)")=0,"Ready","Needs grid entry")</f>
        <v/>
      </c>
      <c r="K168" s="3" t="inlineStr"/>
      <c r="L168" s="3" t="inlineStr">
        <is>
          <t>桌子</t>
        </is>
      </c>
    </row>
    <row r="169" ht="15.75" customHeight="1" s="9">
      <c r="A169" s="7" t="inlineStr">
        <is>
          <t>子</t>
        </is>
      </c>
      <c r="B169" s="7" t="n">
        <v>1</v>
      </c>
      <c r="C169" s="3" t="inlineStr">
        <is>
          <t>zǐ</t>
        </is>
      </c>
      <c r="D169" s="3" t="n">
        <v>3</v>
      </c>
      <c r="E169" s="3" t="inlineStr">
        <is>
          <t>Z</t>
        </is>
      </c>
      <c r="F169" s="3" t="inlineStr">
        <is>
          <t>Ø (no final)</t>
        </is>
      </c>
      <c r="G169" s="3">
        <f>IFERROR(IF(INDEX('HMM Actors'!$B:$B,MATCH(E169,'HMM Actors'!$A:$A,0))="","(not assigned)",INDEX('HMM Actors'!$B:$B,MATCH(E169,'HMM Actors'!$A:$A,0))),"(not assigned)")</f>
        <v/>
      </c>
      <c r="H169" s="3">
        <f>IFERROR(IF(INDEX('HMM Locations'!$B:$B,MATCH(F169,'HMM Locations'!$A:$A,0))="","(not assigned)",INDEX('HMM Locations'!$B:$B,MATCH(F169,'HMM Locations'!$A:$A,0))),"(not assigned)")</f>
        <v/>
      </c>
      <c r="I169" s="3">
        <f>IFERROR(IF(INDEX('HMM Locations'!$C:$G,MATCH(F169,'HMM Locations'!$A:$A,0),D169)="","(not assigned)",INDEX('HMM Locations'!$C:$G,MATCH(F169,'HMM Locations'!$A:$A,0),D169)),"(not assigned)")</f>
        <v/>
      </c>
      <c r="J169" s="3">
        <f>IF(COUNTIF(G169:I169,"(not assigned)")=0,"Ready","Needs grid entry")</f>
        <v/>
      </c>
      <c r="K169" s="3" t="inlineStr"/>
      <c r="L169" s="3" t="inlineStr">
        <is>
          <t>杯子、儿子、椅子、桌子</t>
        </is>
      </c>
    </row>
    <row r="170" ht="15.75" customHeight="1" s="9">
      <c r="A170" s="7" t="inlineStr">
        <is>
          <t>字</t>
        </is>
      </c>
      <c r="B170" s="7" t="n">
        <v>1</v>
      </c>
      <c r="C170" s="3" t="inlineStr">
        <is>
          <t>zì</t>
        </is>
      </c>
      <c r="D170" s="3" t="n">
        <v>4</v>
      </c>
      <c r="E170" s="3" t="inlineStr">
        <is>
          <t>Z</t>
        </is>
      </c>
      <c r="F170" s="3" t="inlineStr">
        <is>
          <t>Ø (no final)</t>
        </is>
      </c>
      <c r="G170" s="3">
        <f>IFERROR(IF(INDEX('HMM Actors'!$B:$B,MATCH(E170,'HMM Actors'!$A:$A,0))="","(not assigned)",INDEX('HMM Actors'!$B:$B,MATCH(E170,'HMM Actors'!$A:$A,0))),"(not assigned)")</f>
        <v/>
      </c>
      <c r="H170" s="3">
        <f>IFERROR(IF(INDEX('HMM Locations'!$B:$B,MATCH(F170,'HMM Locations'!$A:$A,0))="","(not assigned)",INDEX('HMM Locations'!$B:$B,MATCH(F170,'HMM Locations'!$A:$A,0))),"(not assigned)")</f>
        <v/>
      </c>
      <c r="I170" s="3">
        <f>IFERROR(IF(INDEX('HMM Locations'!$C:$G,MATCH(F170,'HMM Locations'!$A:$A,0),D170)="","(not assigned)",INDEX('HMM Locations'!$C:$G,MATCH(F170,'HMM Locations'!$A:$A,0),D170)),"(not assigned)")</f>
        <v/>
      </c>
      <c r="J170" s="3">
        <f>IF(COUNTIF(G170:I170,"(not assigned)")=0,"Ready","Needs grid entry")</f>
        <v/>
      </c>
      <c r="K170" s="3" t="inlineStr"/>
      <c r="L170" s="3" t="inlineStr">
        <is>
          <t>名字、字</t>
        </is>
      </c>
    </row>
    <row r="171" ht="15.75" customHeight="1" s="9">
      <c r="A171" s="7" t="inlineStr">
        <is>
          <t>租</t>
        </is>
      </c>
      <c r="B171" s="7" t="n">
        <v>1</v>
      </c>
      <c r="C171" s="3" t="inlineStr">
        <is>
          <t>zū</t>
        </is>
      </c>
      <c r="D171" s="3" t="n">
        <v>1</v>
      </c>
      <c r="E171" s="3" t="inlineStr">
        <is>
          <t>Z</t>
        </is>
      </c>
      <c r="F171" s="3" t="inlineStr">
        <is>
          <t>U</t>
        </is>
      </c>
      <c r="G171" s="3">
        <f>IFERROR(IF(INDEX('HMM Actors'!$B:$B,MATCH(E171,'HMM Actors'!$A:$A,0))="","(not assigned)",INDEX('HMM Actors'!$B:$B,MATCH(E171,'HMM Actors'!$A:$A,0))),"(not assigned)")</f>
        <v/>
      </c>
      <c r="H171" s="3">
        <f>IFERROR(IF(INDEX('HMM Locations'!$B:$B,MATCH(F171,'HMM Locations'!$A:$A,0))="","(not assigned)",INDEX('HMM Locations'!$B:$B,MATCH(F171,'HMM Locations'!$A:$A,0))),"(not assigned)")</f>
        <v/>
      </c>
      <c r="I171" s="3">
        <f>IFERROR(IF(INDEX('HMM Locations'!$C:$G,MATCH(F171,'HMM Locations'!$A:$A,0),D171)="","(not assigned)",INDEX('HMM Locations'!$C:$G,MATCH(F171,'HMM Locations'!$A:$A,0),D171)),"(not assigned)")</f>
        <v/>
      </c>
      <c r="J171" s="3">
        <f>IF(COUNTIF(G171:I171,"(not assigned)")=0,"Ready","Needs grid entry")</f>
        <v/>
      </c>
      <c r="K171" s="3" t="inlineStr"/>
      <c r="L171" s="3" t="inlineStr">
        <is>
          <t>出租车</t>
        </is>
      </c>
    </row>
    <row r="172" ht="15.75" customHeight="1" s="9">
      <c r="A172" s="7" t="inlineStr">
        <is>
          <t>昨</t>
        </is>
      </c>
      <c r="B172" s="7" t="n">
        <v>1</v>
      </c>
      <c r="C172" s="3" t="inlineStr">
        <is>
          <t>zuó</t>
        </is>
      </c>
      <c r="D172" s="3" t="n">
        <v>2</v>
      </c>
      <c r="E172" s="3" t="inlineStr">
        <is>
          <t>Z</t>
        </is>
      </c>
      <c r="F172" s="3" t="inlineStr">
        <is>
          <t>UO</t>
        </is>
      </c>
      <c r="G172" s="3">
        <f>IFERROR(IF(INDEX('HMM Actors'!$B:$B,MATCH(E172,'HMM Actors'!$A:$A,0))="","(not assigned)",INDEX('HMM Actors'!$B:$B,MATCH(E172,'HMM Actors'!$A:$A,0))),"(not assigned)")</f>
        <v/>
      </c>
      <c r="H172" s="3">
        <f>IFERROR(IF(INDEX('HMM Locations'!$B:$B,MATCH(F172,'HMM Locations'!$A:$A,0))="","(not assigned)",INDEX('HMM Locations'!$B:$B,MATCH(F172,'HMM Locations'!$A:$A,0))),"(not assigned)")</f>
        <v/>
      </c>
      <c r="I172" s="3">
        <f>IFERROR(IF(INDEX('HMM Locations'!$C:$G,MATCH(F172,'HMM Locations'!$A:$A,0),D172)="","(not assigned)",INDEX('HMM Locations'!$C:$G,MATCH(F172,'HMM Locations'!$A:$A,0),D172)),"(not assigned)")</f>
        <v/>
      </c>
      <c r="J172" s="3">
        <f>IF(COUNTIF(G172:I172,"(not assigned)")=0,"Ready","Needs grid entry")</f>
        <v/>
      </c>
      <c r="K172" s="3" t="inlineStr"/>
      <c r="L172" s="3" t="inlineStr">
        <is>
          <t>昨天</t>
        </is>
      </c>
    </row>
    <row r="173" ht="15.75" customHeight="1" s="9">
      <c r="A173" s="7" t="inlineStr">
        <is>
          <t>作</t>
        </is>
      </c>
      <c r="B173" s="7" t="n">
        <v>1</v>
      </c>
      <c r="C173" s="3" t="inlineStr">
        <is>
          <t>zuò</t>
        </is>
      </c>
      <c r="D173" s="3" t="n">
        <v>4</v>
      </c>
      <c r="E173" s="3" t="inlineStr">
        <is>
          <t>Z</t>
        </is>
      </c>
      <c r="F173" s="3" t="inlineStr">
        <is>
          <t>UO</t>
        </is>
      </c>
      <c r="G173" s="3">
        <f>IFERROR(IF(INDEX('HMM Actors'!$B:$B,MATCH(E173,'HMM Actors'!$A:$A,0))="","(not assigned)",INDEX('HMM Actors'!$B:$B,MATCH(E173,'HMM Actors'!$A:$A,0))),"(not assigned)")</f>
        <v/>
      </c>
      <c r="H173" s="3">
        <f>IFERROR(IF(INDEX('HMM Locations'!$B:$B,MATCH(F173,'HMM Locations'!$A:$A,0))="","(not assigned)",INDEX('HMM Locations'!$B:$B,MATCH(F173,'HMM Locations'!$A:$A,0))),"(not assigned)")</f>
        <v/>
      </c>
      <c r="I173" s="3">
        <f>IFERROR(IF(INDEX('HMM Locations'!$C:$G,MATCH(F173,'HMM Locations'!$A:$A,0),D173)="","(not assigned)",INDEX('HMM Locations'!$C:$G,MATCH(F173,'HMM Locations'!$A:$A,0),D173)),"(not assigned)")</f>
        <v/>
      </c>
      <c r="J173" s="3">
        <f>IF(COUNTIF(G173:I173,"(not assigned)")=0,"Ready","Needs grid entry")</f>
        <v/>
      </c>
      <c r="K173" s="3" t="inlineStr"/>
      <c r="L173" s="3" t="inlineStr">
        <is>
          <t>工作、作业</t>
        </is>
      </c>
    </row>
    <row r="174" ht="15.75" customHeight="1" s="9">
      <c r="A174" s="7" t="inlineStr">
        <is>
          <t>坐</t>
        </is>
      </c>
      <c r="B174" s="7" t="n">
        <v>1</v>
      </c>
      <c r="C174" s="3" t="inlineStr">
        <is>
          <t>zuò</t>
        </is>
      </c>
      <c r="D174" s="3" t="n">
        <v>4</v>
      </c>
      <c r="E174" s="3" t="inlineStr">
        <is>
          <t>Z</t>
        </is>
      </c>
      <c r="F174" s="3" t="inlineStr">
        <is>
          <t>UO</t>
        </is>
      </c>
      <c r="G174" s="3">
        <f>IFERROR(IF(INDEX('HMM Actors'!$B:$B,MATCH(E174,'HMM Actors'!$A:$A,0))="","(not assigned)",INDEX('HMM Actors'!$B:$B,MATCH(E174,'HMM Actors'!$A:$A,0))),"(not assigned)")</f>
        <v/>
      </c>
      <c r="H174" s="3">
        <f>IFERROR(IF(INDEX('HMM Locations'!$B:$B,MATCH(F174,'HMM Locations'!$A:$A,0))="","(not assigned)",INDEX('HMM Locations'!$B:$B,MATCH(F174,'HMM Locations'!$A:$A,0))),"(not assigned)")</f>
        <v/>
      </c>
      <c r="I174" s="3">
        <f>IFERROR(IF(INDEX('HMM Locations'!$C:$G,MATCH(F174,'HMM Locations'!$A:$A,0),D174)="","(not assigned)",INDEX('HMM Locations'!$C:$G,MATCH(F174,'HMM Locations'!$A:$A,0),D174)),"(not assigned)")</f>
        <v/>
      </c>
      <c r="J174" s="3">
        <f>IF(COUNTIF(G174:I174,"(not assigned)")=0,"Ready","Needs grid entry")</f>
        <v/>
      </c>
      <c r="K174" s="3" t="inlineStr"/>
      <c r="L174" s="3" t="inlineStr">
        <is>
          <t>坐</t>
        </is>
      </c>
    </row>
    <row r="175" ht="15.75" customHeight="1" s="9">
      <c r="A175" s="7" t="inlineStr">
        <is>
          <t>做</t>
        </is>
      </c>
      <c r="B175" s="7" t="n">
        <v>1</v>
      </c>
      <c r="C175" s="3" t="inlineStr">
        <is>
          <t>zuò</t>
        </is>
      </c>
      <c r="D175" s="3" t="n">
        <v>4</v>
      </c>
      <c r="E175" s="3" t="inlineStr">
        <is>
          <t>Z</t>
        </is>
      </c>
      <c r="F175" s="3" t="inlineStr">
        <is>
          <t>UO</t>
        </is>
      </c>
      <c r="G175" s="3">
        <f>IFERROR(IF(INDEX('HMM Actors'!$B:$B,MATCH(E175,'HMM Actors'!$A:$A,0))="","(not assigned)",INDEX('HMM Actors'!$B:$B,MATCH(E175,'HMM Actors'!$A:$A,0))),"(not assigned)")</f>
        <v/>
      </c>
      <c r="H175" s="3">
        <f>IFERROR(IF(INDEX('HMM Locations'!$B:$B,MATCH(F175,'HMM Locations'!$A:$A,0))="","(not assigned)",INDEX('HMM Locations'!$B:$B,MATCH(F175,'HMM Locations'!$A:$A,0))),"(not assigned)")</f>
        <v/>
      </c>
      <c r="I175" s="3">
        <f>IFERROR(IF(INDEX('HMM Locations'!$C:$G,MATCH(F175,'HMM Locations'!$A:$A,0),D175)="","(not assigned)",INDEX('HMM Locations'!$C:$G,MATCH(F175,'HMM Locations'!$A:$A,0),D175)),"(not assigned)")</f>
        <v/>
      </c>
      <c r="J175" s="3">
        <f>IF(COUNTIF(G175:I175,"(not assigned)")=0,"Ready","Needs grid entry")</f>
        <v/>
      </c>
      <c r="K175" s="3" t="inlineStr"/>
      <c r="L175" s="3" t="inlineStr">
        <is>
          <t>做</t>
        </is>
      </c>
    </row>
    <row r="176" ht="15.75" customHeight="1" s="9">
      <c r="A176" s="7" t="inlineStr">
        <is>
          <t>吧</t>
        </is>
      </c>
      <c r="B176" s="7" t="n">
        <v>2</v>
      </c>
      <c r="C176" s="3" t="inlineStr">
        <is>
          <t>ba</t>
        </is>
      </c>
      <c r="D176" s="3" t="n">
        <v>5</v>
      </c>
      <c r="E176" s="3" t="inlineStr">
        <is>
          <t>B</t>
        </is>
      </c>
      <c r="F176" s="3" t="inlineStr">
        <is>
          <t>A</t>
        </is>
      </c>
      <c r="G176" s="3">
        <f>IFERROR(IF(INDEX('HMM Actors'!$B:$B,MATCH(E176,'HMM Actors'!$A:$A,0))="","(not assigned)",INDEX('HMM Actors'!$B:$B,MATCH(E176,'HMM Actors'!$A:$A,0))),"(not assigned)")</f>
        <v/>
      </c>
      <c r="H176" s="3">
        <f>IFERROR(IF(INDEX('HMM Locations'!$B:$B,MATCH(F176,'HMM Locations'!$A:$A,0))="","(not assigned)",INDEX('HMM Locations'!$B:$B,MATCH(F176,'HMM Locations'!$A:$A,0))),"(not assigned)")</f>
        <v/>
      </c>
      <c r="I176" s="3">
        <f>IFERROR(IF(INDEX('HMM Locations'!$C:$G,MATCH(F176,'HMM Locations'!$A:$A,0),D176)="","(not assigned)",INDEX('HMM Locations'!$C:$G,MATCH(F176,'HMM Locations'!$A:$A,0),D176)),"(not assigned)")</f>
        <v/>
      </c>
      <c r="J176" s="3">
        <f>IF(COUNTIF(G176:I176,"(not assigned)")=0,"Ready","Needs grid entry")</f>
        <v/>
      </c>
      <c r="K176" s="3" t="inlineStr"/>
      <c r="L176" s="3" t="inlineStr">
        <is>
          <t>吧</t>
        </is>
      </c>
    </row>
    <row r="177" ht="15.75" customHeight="1" s="9">
      <c r="A177" s="7" t="inlineStr">
        <is>
          <t>白</t>
        </is>
      </c>
      <c r="B177" s="7" t="n">
        <v>2</v>
      </c>
      <c r="C177" s="3" t="inlineStr">
        <is>
          <t>bái</t>
        </is>
      </c>
      <c r="D177" s="3" t="n">
        <v>2</v>
      </c>
      <c r="E177" s="3" t="inlineStr">
        <is>
          <t>B</t>
        </is>
      </c>
      <c r="F177" s="3" t="inlineStr">
        <is>
          <t>AI</t>
        </is>
      </c>
      <c r="G177" s="3">
        <f>IFERROR(IF(INDEX('HMM Actors'!$B:$B,MATCH(E177,'HMM Actors'!$A:$A,0))="","(not assigned)",INDEX('HMM Actors'!$B:$B,MATCH(E177,'HMM Actors'!$A:$A,0))),"(not assigned)")</f>
        <v/>
      </c>
      <c r="H177" s="3">
        <f>IFERROR(IF(INDEX('HMM Locations'!$B:$B,MATCH(F177,'HMM Locations'!$A:$A,0))="","(not assigned)",INDEX('HMM Locations'!$B:$B,MATCH(F177,'HMM Locations'!$A:$A,0))),"(not assigned)")</f>
        <v/>
      </c>
      <c r="I177" s="3">
        <f>IFERROR(IF(INDEX('HMM Locations'!$C:$G,MATCH(F177,'HMM Locations'!$A:$A,0),D177)="","(not assigned)",INDEX('HMM Locations'!$C:$G,MATCH(F177,'HMM Locations'!$A:$A,0),D177)),"(not assigned)")</f>
        <v/>
      </c>
      <c r="J177" s="3">
        <f>IF(COUNTIF(G177:I177,"(not assigned)")=0,"Ready","Needs grid entry")</f>
        <v/>
      </c>
      <c r="K177" s="3" t="inlineStr"/>
      <c r="L177" s="3" t="inlineStr">
        <is>
          <t>白、明白</t>
        </is>
      </c>
    </row>
    <row r="178" ht="15.75" customHeight="1" s="9">
      <c r="A178" s="7" t="inlineStr">
        <is>
          <t>百</t>
        </is>
      </c>
      <c r="B178" s="7" t="n">
        <v>2</v>
      </c>
      <c r="C178" s="3" t="inlineStr">
        <is>
          <t>bǎi</t>
        </is>
      </c>
      <c r="D178" s="3" t="n">
        <v>3</v>
      </c>
      <c r="E178" s="3" t="inlineStr">
        <is>
          <t>B</t>
        </is>
      </c>
      <c r="F178" s="3" t="inlineStr">
        <is>
          <t>AI</t>
        </is>
      </c>
      <c r="G178" s="3">
        <f>IFERROR(IF(INDEX('HMM Actors'!$B:$B,MATCH(E178,'HMM Actors'!$A:$A,0))="","(not assigned)",INDEX('HMM Actors'!$B:$B,MATCH(E178,'HMM Actors'!$A:$A,0))),"(not assigned)")</f>
        <v/>
      </c>
      <c r="H178" s="3">
        <f>IFERROR(IF(INDEX('HMM Locations'!$B:$B,MATCH(F178,'HMM Locations'!$A:$A,0))="","(not assigned)",INDEX('HMM Locations'!$B:$B,MATCH(F178,'HMM Locations'!$A:$A,0))),"(not assigned)")</f>
        <v/>
      </c>
      <c r="I178" s="3">
        <f>IFERROR(IF(INDEX('HMM Locations'!$C:$G,MATCH(F178,'HMM Locations'!$A:$A,0),D178)="","(not assigned)",INDEX('HMM Locations'!$C:$G,MATCH(F178,'HMM Locations'!$A:$A,0),D178)),"(not assigned)")</f>
        <v/>
      </c>
      <c r="J178" s="3">
        <f>IF(COUNTIF(G178:I178,"(not assigned)")=0,"Ready","Needs grid entry")</f>
        <v/>
      </c>
      <c r="K178" s="3" t="inlineStr"/>
      <c r="L178" s="3" t="inlineStr">
        <is>
          <t>百</t>
        </is>
      </c>
    </row>
    <row r="179" ht="15.75" customHeight="1" s="9">
      <c r="A179" s="7" t="inlineStr">
        <is>
          <t>班</t>
        </is>
      </c>
      <c r="B179" s="7" t="n">
        <v>2</v>
      </c>
      <c r="C179" s="3" t="inlineStr">
        <is>
          <t>bān</t>
        </is>
      </c>
      <c r="D179" s="3" t="n">
        <v>1</v>
      </c>
      <c r="E179" s="3" t="inlineStr">
        <is>
          <t>B</t>
        </is>
      </c>
      <c r="F179" s="3" t="inlineStr">
        <is>
          <t>AN</t>
        </is>
      </c>
      <c r="G179" s="3">
        <f>IFERROR(IF(INDEX('HMM Actors'!$B:$B,MATCH(E179,'HMM Actors'!$A:$A,0))="","(not assigned)",INDEX('HMM Actors'!$B:$B,MATCH(E179,'HMM Actors'!$A:$A,0))),"(not assigned)")</f>
        <v/>
      </c>
      <c r="H179" s="3">
        <f>IFERROR(IF(INDEX('HMM Locations'!$B:$B,MATCH(F179,'HMM Locations'!$A:$A,0))="","(not assigned)",INDEX('HMM Locations'!$B:$B,MATCH(F179,'HMM Locations'!$A:$A,0))),"(not assigned)")</f>
        <v/>
      </c>
      <c r="I179" s="3">
        <f>IFERROR(IF(INDEX('HMM Locations'!$C:$G,MATCH(F179,'HMM Locations'!$A:$A,0),D179)="","(not assigned)",INDEX('HMM Locations'!$C:$G,MATCH(F179,'HMM Locations'!$A:$A,0),D179)),"(not assigned)")</f>
        <v/>
      </c>
      <c r="J179" s="3">
        <f>IF(COUNTIF(G179:I179,"(not assigned)")=0,"Ready","Needs grid entry")</f>
        <v/>
      </c>
      <c r="K179" s="3" t="inlineStr"/>
      <c r="L179" s="3" t="inlineStr">
        <is>
          <t>上班、班</t>
        </is>
      </c>
    </row>
    <row r="180" ht="15.75" customHeight="1" s="9">
      <c r="A180" s="7" t="inlineStr">
        <is>
          <t>帮</t>
        </is>
      </c>
      <c r="B180" s="7" t="n">
        <v>2</v>
      </c>
      <c r="C180" s="3" t="inlineStr">
        <is>
          <t>bāng</t>
        </is>
      </c>
      <c r="D180" s="3" t="n">
        <v>1</v>
      </c>
      <c r="E180" s="3" t="inlineStr">
        <is>
          <t>B</t>
        </is>
      </c>
      <c r="F180" s="3" t="inlineStr">
        <is>
          <t>ANG</t>
        </is>
      </c>
      <c r="G180" s="3">
        <f>IFERROR(IF(INDEX('HMM Actors'!$B:$B,MATCH(E180,'HMM Actors'!$A:$A,0))="","(not assigned)",INDEX('HMM Actors'!$B:$B,MATCH(E180,'HMM Actors'!$A:$A,0))),"(not assigned)")</f>
        <v/>
      </c>
      <c r="H180" s="3">
        <f>IFERROR(IF(INDEX('HMM Locations'!$B:$B,MATCH(F180,'HMM Locations'!$A:$A,0))="","(not assigned)",INDEX('HMM Locations'!$B:$B,MATCH(F180,'HMM Locations'!$A:$A,0))),"(not assigned)")</f>
        <v/>
      </c>
      <c r="I180" s="3">
        <f>IFERROR(IF(INDEX('HMM Locations'!$C:$G,MATCH(F180,'HMM Locations'!$A:$A,0),D180)="","(not assigned)",INDEX('HMM Locations'!$C:$G,MATCH(F180,'HMM Locations'!$A:$A,0),D180)),"(not assigned)")</f>
        <v/>
      </c>
      <c r="J180" s="3">
        <f>IF(COUNTIF(G180:I180,"(not assigned)")=0,"Ready","Needs grid entry")</f>
        <v/>
      </c>
      <c r="K180" s="3" t="inlineStr"/>
      <c r="L180" s="3" t="inlineStr">
        <is>
          <t>帮助、帮忙</t>
        </is>
      </c>
    </row>
    <row r="181" ht="15.75" customHeight="1" s="9">
      <c r="A181" s="7" t="inlineStr">
        <is>
          <t>报</t>
        </is>
      </c>
      <c r="B181" s="7" t="n">
        <v>2</v>
      </c>
      <c r="C181" s="3" t="inlineStr">
        <is>
          <t>bào</t>
        </is>
      </c>
      <c r="D181" s="3" t="n">
        <v>4</v>
      </c>
      <c r="E181" s="3" t="inlineStr">
        <is>
          <t>B</t>
        </is>
      </c>
      <c r="F181" s="3" t="inlineStr">
        <is>
          <t>AO</t>
        </is>
      </c>
      <c r="G181" s="3">
        <f>IFERROR(IF(INDEX('HMM Actors'!$B:$B,MATCH(E181,'HMM Actors'!$A:$A,0))="","(not assigned)",INDEX('HMM Actors'!$B:$B,MATCH(E181,'HMM Actors'!$A:$A,0))),"(not assigned)")</f>
        <v/>
      </c>
      <c r="H181" s="3">
        <f>IFERROR(IF(INDEX('HMM Locations'!$B:$B,MATCH(F181,'HMM Locations'!$A:$A,0))="","(not assigned)",INDEX('HMM Locations'!$B:$B,MATCH(F181,'HMM Locations'!$A:$A,0))),"(not assigned)")</f>
        <v/>
      </c>
      <c r="I181" s="3">
        <f>IFERROR(IF(INDEX('HMM Locations'!$C:$G,MATCH(F181,'HMM Locations'!$A:$A,0),D181)="","(not assigned)",INDEX('HMM Locations'!$C:$G,MATCH(F181,'HMM Locations'!$A:$A,0),D181)),"(not assigned)")</f>
        <v/>
      </c>
      <c r="J181" s="3">
        <f>IF(COUNTIF(G181:I181,"(not assigned)")=0,"Ready","Needs grid entry")</f>
        <v/>
      </c>
      <c r="K181" s="3" t="inlineStr"/>
      <c r="L181" s="3" t="inlineStr">
        <is>
          <t>报纸</t>
        </is>
      </c>
    </row>
    <row r="182" ht="15.75" customHeight="1" s="9">
      <c r="A182" s="7" t="inlineStr">
        <is>
          <t>备</t>
        </is>
      </c>
      <c r="B182" s="7" t="n">
        <v>2</v>
      </c>
      <c r="C182" s="3" t="inlineStr">
        <is>
          <t>bèi</t>
        </is>
      </c>
      <c r="D182" s="3" t="n">
        <v>4</v>
      </c>
      <c r="E182" s="3" t="inlineStr">
        <is>
          <t>B</t>
        </is>
      </c>
      <c r="F182" s="3" t="inlineStr">
        <is>
          <t>EI</t>
        </is>
      </c>
      <c r="G182" s="3">
        <f>IFERROR(IF(INDEX('HMM Actors'!$B:$B,MATCH(E182,'HMM Actors'!$A:$A,0))="","(not assigned)",INDEX('HMM Actors'!$B:$B,MATCH(E182,'HMM Actors'!$A:$A,0))),"(not assigned)")</f>
        <v/>
      </c>
      <c r="H182" s="3">
        <f>IFERROR(IF(INDEX('HMM Locations'!$B:$B,MATCH(F182,'HMM Locations'!$A:$A,0))="","(not assigned)",INDEX('HMM Locations'!$B:$B,MATCH(F182,'HMM Locations'!$A:$A,0))),"(not assigned)")</f>
        <v/>
      </c>
      <c r="I182" s="3">
        <f>IFERROR(IF(INDEX('HMM Locations'!$C:$G,MATCH(F182,'HMM Locations'!$A:$A,0),D182)="","(not assigned)",INDEX('HMM Locations'!$C:$G,MATCH(F182,'HMM Locations'!$A:$A,0),D182)),"(not assigned)")</f>
        <v/>
      </c>
      <c r="J182" s="3">
        <f>IF(COUNTIF(G182:I182,"(not assigned)")=0,"Ready","Needs grid entry")</f>
        <v/>
      </c>
      <c r="K182" s="3" t="inlineStr"/>
      <c r="L182" s="3" t="inlineStr">
        <is>
          <t>准备</t>
        </is>
      </c>
    </row>
    <row r="183" ht="15.75" customHeight="1" s="9">
      <c r="A183" s="7" t="inlineStr">
        <is>
          <t>比</t>
        </is>
      </c>
      <c r="B183" s="7" t="n">
        <v>2</v>
      </c>
      <c r="C183" s="3" t="inlineStr">
        <is>
          <t>bǐ</t>
        </is>
      </c>
      <c r="D183" s="3" t="n">
        <v>3</v>
      </c>
      <c r="E183" s="3" t="inlineStr">
        <is>
          <t>B</t>
        </is>
      </c>
      <c r="F183" s="3" t="inlineStr">
        <is>
          <t>I</t>
        </is>
      </c>
      <c r="G183" s="3">
        <f>IFERROR(IF(INDEX('HMM Actors'!$B:$B,MATCH(E183,'HMM Actors'!$A:$A,0))="","(not assigned)",INDEX('HMM Actors'!$B:$B,MATCH(E183,'HMM Actors'!$A:$A,0))),"(not assigned)")</f>
        <v/>
      </c>
      <c r="H183" s="3">
        <f>IFERROR(IF(INDEX('HMM Locations'!$B:$B,MATCH(F183,'HMM Locations'!$A:$A,0))="","(not assigned)",INDEX('HMM Locations'!$B:$B,MATCH(F183,'HMM Locations'!$A:$A,0))),"(not assigned)")</f>
        <v/>
      </c>
      <c r="I183" s="3">
        <f>IFERROR(IF(INDEX('HMM Locations'!$C:$G,MATCH(F183,'HMM Locations'!$A:$A,0),D183)="","(not assigned)",INDEX('HMM Locations'!$C:$G,MATCH(F183,'HMM Locations'!$A:$A,0),D183)),"(not assigned)")</f>
        <v/>
      </c>
      <c r="J183" s="3">
        <f>IF(COUNTIF(G183:I183,"(not assigned)")=0,"Ready","Needs grid entry")</f>
        <v/>
      </c>
      <c r="K183" s="3" t="inlineStr"/>
      <c r="L183" s="3" t="inlineStr">
        <is>
          <t>比、比较、比赛</t>
        </is>
      </c>
    </row>
    <row r="184" ht="15.75" customHeight="1" s="9">
      <c r="A184" s="7" t="inlineStr">
        <is>
          <t>笔</t>
        </is>
      </c>
      <c r="B184" s="7" t="n">
        <v>2</v>
      </c>
      <c r="C184" s="3" t="inlineStr">
        <is>
          <t>bǐ</t>
        </is>
      </c>
      <c r="D184" s="3" t="n">
        <v>3</v>
      </c>
      <c r="E184" s="3" t="inlineStr">
        <is>
          <t>B</t>
        </is>
      </c>
      <c r="F184" s="3" t="inlineStr">
        <is>
          <t>I</t>
        </is>
      </c>
      <c r="G184" s="3">
        <f>IFERROR(IF(INDEX('HMM Actors'!$B:$B,MATCH(E184,'HMM Actors'!$A:$A,0))="","(not assigned)",INDEX('HMM Actors'!$B:$B,MATCH(E184,'HMM Actors'!$A:$A,0))),"(not assigned)")</f>
        <v/>
      </c>
      <c r="H184" s="3">
        <f>IFERROR(IF(INDEX('HMM Locations'!$B:$B,MATCH(F184,'HMM Locations'!$A:$A,0))="","(not assigned)",INDEX('HMM Locations'!$B:$B,MATCH(F184,'HMM Locations'!$A:$A,0))),"(not assigned)")</f>
        <v/>
      </c>
      <c r="I184" s="3">
        <f>IFERROR(IF(INDEX('HMM Locations'!$C:$G,MATCH(F184,'HMM Locations'!$A:$A,0),D184)="","(not assigned)",INDEX('HMM Locations'!$C:$G,MATCH(F184,'HMM Locations'!$A:$A,0),D184)),"(not assigned)")</f>
        <v/>
      </c>
      <c r="J184" s="3">
        <f>IF(COUNTIF(G184:I184,"(not assigned)")=0,"Ready","Needs grid entry")</f>
        <v/>
      </c>
      <c r="K184" s="3" t="inlineStr"/>
      <c r="L184" s="3" t="inlineStr">
        <is>
          <t>铅笔、笔记本</t>
        </is>
      </c>
    </row>
    <row r="185" ht="15.75" customHeight="1" s="9">
      <c r="A185" s="7" t="inlineStr">
        <is>
          <t>边</t>
        </is>
      </c>
      <c r="B185" s="7" t="n">
        <v>2</v>
      </c>
      <c r="C185" s="3" t="inlineStr">
        <is>
          <t>biān</t>
        </is>
      </c>
      <c r="D185" s="3" t="n">
        <v>1</v>
      </c>
      <c r="E185" s="3" t="inlineStr">
        <is>
          <t>B</t>
        </is>
      </c>
      <c r="F185" s="3" t="inlineStr">
        <is>
          <t>IAN</t>
        </is>
      </c>
      <c r="G185" s="3">
        <f>IFERROR(IF(INDEX('HMM Actors'!$B:$B,MATCH(E185,'HMM Actors'!$A:$A,0))="","(not assigned)",INDEX('HMM Actors'!$B:$B,MATCH(E185,'HMM Actors'!$A:$A,0))),"(not assigned)")</f>
        <v/>
      </c>
      <c r="H185" s="3">
        <f>IFERROR(IF(INDEX('HMM Locations'!$B:$B,MATCH(F185,'HMM Locations'!$A:$A,0))="","(not assigned)",INDEX('HMM Locations'!$B:$B,MATCH(F185,'HMM Locations'!$A:$A,0))),"(not assigned)")</f>
        <v/>
      </c>
      <c r="I185" s="3">
        <f>IFERROR(IF(INDEX('HMM Locations'!$C:$G,MATCH(F185,'HMM Locations'!$A:$A,0),D185)="","(not assigned)",INDEX('HMM Locations'!$C:$G,MATCH(F185,'HMM Locations'!$A:$A,0),D185)),"(not assigned)")</f>
        <v/>
      </c>
      <c r="J185" s="3">
        <f>IF(COUNTIF(G185:I185,"(not assigned)")=0,"Ready","Needs grid entry")</f>
        <v/>
      </c>
      <c r="K185" s="3" t="inlineStr"/>
      <c r="L185" s="3" t="inlineStr">
        <is>
          <t>旁边、右边、左边、一边</t>
        </is>
      </c>
    </row>
    <row r="186" ht="15.75" customHeight="1" s="9">
      <c r="A186" s="7" t="inlineStr">
        <is>
          <t>便</t>
        </is>
      </c>
      <c r="B186" s="7" t="n">
        <v>2</v>
      </c>
      <c r="C186" s="3" t="inlineStr">
        <is>
          <t>pián</t>
        </is>
      </c>
      <c r="D186" s="3" t="n">
        <v>2</v>
      </c>
      <c r="E186" s="3" t="inlineStr">
        <is>
          <t>P</t>
        </is>
      </c>
      <c r="F186" s="3" t="inlineStr">
        <is>
          <t>IAN</t>
        </is>
      </c>
      <c r="G186" s="3">
        <f>IFERROR(IF(INDEX('HMM Actors'!$B:$B,MATCH(E186,'HMM Actors'!$A:$A,0))="","(not assigned)",INDEX('HMM Actors'!$B:$B,MATCH(E186,'HMM Actors'!$A:$A,0))),"(not assigned)")</f>
        <v/>
      </c>
      <c r="H186" s="3">
        <f>IFERROR(IF(INDEX('HMM Locations'!$B:$B,MATCH(F186,'HMM Locations'!$A:$A,0))="","(not assigned)",INDEX('HMM Locations'!$B:$B,MATCH(F186,'HMM Locations'!$A:$A,0))),"(not assigned)")</f>
        <v/>
      </c>
      <c r="I186" s="3">
        <f>IFERROR(IF(INDEX('HMM Locations'!$C:$G,MATCH(F186,'HMM Locations'!$A:$A,0),D186)="","(not assigned)",INDEX('HMM Locations'!$C:$G,MATCH(F186,'HMM Locations'!$A:$A,0),D186)),"(not assigned)")</f>
        <v/>
      </c>
      <c r="J186" s="3">
        <f>IF(COUNTIF(G186:I186,"(not assigned)")=0,"Ready","Needs grid entry")</f>
        <v/>
      </c>
      <c r="K186" s="3" t="inlineStr">
        <is>
          <t>biàn</t>
        </is>
      </c>
      <c r="L186" s="3" t="inlineStr">
        <is>
          <t>便宜、方便</t>
        </is>
      </c>
    </row>
    <row r="187" ht="15.75" customHeight="1" s="9">
      <c r="A187" s="7" t="inlineStr">
        <is>
          <t>表</t>
        </is>
      </c>
      <c r="B187" s="7" t="n">
        <v>2</v>
      </c>
      <c r="C187" s="3" t="inlineStr">
        <is>
          <t>biǎo</t>
        </is>
      </c>
      <c r="D187" s="3" t="n">
        <v>3</v>
      </c>
      <c r="E187" s="3" t="inlineStr">
        <is>
          <t>B</t>
        </is>
      </c>
      <c r="F187" s="3" t="inlineStr">
        <is>
          <t>IAO</t>
        </is>
      </c>
      <c r="G187" s="3">
        <f>IFERROR(IF(INDEX('HMM Actors'!$B:$B,MATCH(E187,'HMM Actors'!$A:$A,0))="","(not assigned)",INDEX('HMM Actors'!$B:$B,MATCH(E187,'HMM Actors'!$A:$A,0))),"(not assigned)")</f>
        <v/>
      </c>
      <c r="H187" s="3">
        <f>IFERROR(IF(INDEX('HMM Locations'!$B:$B,MATCH(F187,'HMM Locations'!$A:$A,0))="","(not assigned)",INDEX('HMM Locations'!$B:$B,MATCH(F187,'HMM Locations'!$A:$A,0))),"(not assigned)")</f>
        <v/>
      </c>
      <c r="I187" s="3">
        <f>IFERROR(IF(INDEX('HMM Locations'!$C:$G,MATCH(F187,'HMM Locations'!$A:$A,0),D187)="","(not assigned)",INDEX('HMM Locations'!$C:$G,MATCH(F187,'HMM Locations'!$A:$A,0),D187)),"(not assigned)")</f>
        <v/>
      </c>
      <c r="J187" s="3">
        <f>IF(COUNTIF(G187:I187,"(not assigned)")=0,"Ready","Needs grid entry")</f>
        <v/>
      </c>
      <c r="K187" s="3" t="inlineStr"/>
      <c r="L187" s="3" t="inlineStr">
        <is>
          <t>手表</t>
        </is>
      </c>
    </row>
    <row r="188" ht="15.75" customHeight="1" s="9">
      <c r="A188" s="7" t="inlineStr">
        <is>
          <t>别</t>
        </is>
      </c>
      <c r="B188" s="7" t="n">
        <v>2</v>
      </c>
      <c r="C188" s="3" t="inlineStr">
        <is>
          <t>bié</t>
        </is>
      </c>
      <c r="D188" s="3" t="n">
        <v>2</v>
      </c>
      <c r="E188" s="3" t="inlineStr">
        <is>
          <t>B</t>
        </is>
      </c>
      <c r="F188" s="3" t="inlineStr">
        <is>
          <t>IE</t>
        </is>
      </c>
      <c r="G188" s="3">
        <f>IFERROR(IF(INDEX('HMM Actors'!$B:$B,MATCH(E188,'HMM Actors'!$A:$A,0))="","(not assigned)",INDEX('HMM Actors'!$B:$B,MATCH(E188,'HMM Actors'!$A:$A,0))),"(not assigned)")</f>
        <v/>
      </c>
      <c r="H188" s="3">
        <f>IFERROR(IF(INDEX('HMM Locations'!$B:$B,MATCH(F188,'HMM Locations'!$A:$A,0))="","(not assigned)",INDEX('HMM Locations'!$B:$B,MATCH(F188,'HMM Locations'!$A:$A,0))),"(not assigned)")</f>
        <v/>
      </c>
      <c r="I188" s="3">
        <f>IFERROR(IF(INDEX('HMM Locations'!$C:$G,MATCH(F188,'HMM Locations'!$A:$A,0),D188)="","(not assigned)",INDEX('HMM Locations'!$C:$G,MATCH(F188,'HMM Locations'!$A:$A,0),D188)),"(not assigned)")</f>
        <v/>
      </c>
      <c r="J188" s="3">
        <f>IF(COUNTIF(G188:I188,"(not assigned)")=0,"Ready","Needs grid entry")</f>
        <v/>
      </c>
      <c r="K188" s="3" t="inlineStr"/>
      <c r="L188" s="3" t="inlineStr">
        <is>
          <t>别、别人、特别</t>
        </is>
      </c>
    </row>
    <row r="189" ht="15.75" customHeight="1" s="9">
      <c r="A189" s="7" t="inlineStr">
        <is>
          <t>宾</t>
        </is>
      </c>
      <c r="B189" s="7" t="n">
        <v>2</v>
      </c>
      <c r="C189" s="3" t="inlineStr">
        <is>
          <t>bīn</t>
        </is>
      </c>
      <c r="D189" s="3" t="n">
        <v>1</v>
      </c>
      <c r="E189" s="3" t="inlineStr">
        <is>
          <t>B</t>
        </is>
      </c>
      <c r="F189" s="3" t="inlineStr">
        <is>
          <t>IN</t>
        </is>
      </c>
      <c r="G189" s="3">
        <f>IFERROR(IF(INDEX('HMM Actors'!$B:$B,MATCH(E189,'HMM Actors'!$A:$A,0))="","(not assigned)",INDEX('HMM Actors'!$B:$B,MATCH(E189,'HMM Actors'!$A:$A,0))),"(not assigned)")</f>
        <v/>
      </c>
      <c r="H189" s="3">
        <f>IFERROR(IF(INDEX('HMM Locations'!$B:$B,MATCH(F189,'HMM Locations'!$A:$A,0))="","(not assigned)",INDEX('HMM Locations'!$B:$B,MATCH(F189,'HMM Locations'!$A:$A,0))),"(not assigned)")</f>
        <v/>
      </c>
      <c r="I189" s="3">
        <f>IFERROR(IF(INDEX('HMM Locations'!$C:$G,MATCH(F189,'HMM Locations'!$A:$A,0),D189)="","(not assigned)",INDEX('HMM Locations'!$C:$G,MATCH(F189,'HMM Locations'!$A:$A,0),D189)),"(not assigned)")</f>
        <v/>
      </c>
      <c r="J189" s="3">
        <f>IF(COUNTIF(G189:I189,"(not assigned)")=0,"Ready","Needs grid entry")</f>
        <v/>
      </c>
      <c r="K189" s="3" t="inlineStr"/>
      <c r="L189" s="3" t="inlineStr">
        <is>
          <t>宾馆</t>
        </is>
      </c>
    </row>
    <row r="190" ht="15.75" customHeight="1" s="9">
      <c r="A190" s="7" t="inlineStr">
        <is>
          <t>病</t>
        </is>
      </c>
      <c r="B190" s="7" t="n">
        <v>2</v>
      </c>
      <c r="C190" s="3" t="inlineStr">
        <is>
          <t>bìng</t>
        </is>
      </c>
      <c r="D190" s="3" t="n">
        <v>4</v>
      </c>
      <c r="E190" s="3" t="inlineStr">
        <is>
          <t>B</t>
        </is>
      </c>
      <c r="F190" s="3" t="inlineStr">
        <is>
          <t>ING</t>
        </is>
      </c>
      <c r="G190" s="3">
        <f>IFERROR(IF(INDEX('HMM Actors'!$B:$B,MATCH(E190,'HMM Actors'!$A:$A,0))="","(not assigned)",INDEX('HMM Actors'!$B:$B,MATCH(E190,'HMM Actors'!$A:$A,0))),"(not assigned)")</f>
        <v/>
      </c>
      <c r="H190" s="3">
        <f>IFERROR(IF(INDEX('HMM Locations'!$B:$B,MATCH(F190,'HMM Locations'!$A:$A,0))="","(not assigned)",INDEX('HMM Locations'!$B:$B,MATCH(F190,'HMM Locations'!$A:$A,0))),"(not assigned)")</f>
        <v/>
      </c>
      <c r="I190" s="3">
        <f>IFERROR(IF(INDEX('HMM Locations'!$C:$G,MATCH(F190,'HMM Locations'!$A:$A,0),D190)="","(not assigned)",INDEX('HMM Locations'!$C:$G,MATCH(F190,'HMM Locations'!$A:$A,0),D190)),"(not assigned)")</f>
        <v/>
      </c>
      <c r="J190" s="3">
        <f>IF(COUNTIF(G190:I190,"(not assigned)")=0,"Ready","Needs grid entry")</f>
        <v/>
      </c>
      <c r="K190" s="3" t="inlineStr"/>
      <c r="L190" s="3" t="inlineStr">
        <is>
          <t>生病</t>
        </is>
      </c>
    </row>
    <row r="191" ht="15.75" customHeight="1" s="9">
      <c r="A191" s="7" t="inlineStr">
        <is>
          <t>步</t>
        </is>
      </c>
      <c r="B191" s="7" t="n">
        <v>2</v>
      </c>
      <c r="C191" s="3" t="inlineStr">
        <is>
          <t>bù</t>
        </is>
      </c>
      <c r="D191" s="3" t="n">
        <v>4</v>
      </c>
      <c r="E191" s="3" t="inlineStr">
        <is>
          <t>B</t>
        </is>
      </c>
      <c r="F191" s="3" t="inlineStr">
        <is>
          <t>U</t>
        </is>
      </c>
      <c r="G191" s="3">
        <f>IFERROR(IF(INDEX('HMM Actors'!$B:$B,MATCH(E191,'HMM Actors'!$A:$A,0))="","(not assigned)",INDEX('HMM Actors'!$B:$B,MATCH(E191,'HMM Actors'!$A:$A,0))),"(not assigned)")</f>
        <v/>
      </c>
      <c r="H191" s="3">
        <f>IFERROR(IF(INDEX('HMM Locations'!$B:$B,MATCH(F191,'HMM Locations'!$A:$A,0))="","(not assigned)",INDEX('HMM Locations'!$B:$B,MATCH(F191,'HMM Locations'!$A:$A,0))),"(not assigned)")</f>
        <v/>
      </c>
      <c r="I191" s="3">
        <f>IFERROR(IF(INDEX('HMM Locations'!$C:$G,MATCH(F191,'HMM Locations'!$A:$A,0),D191)="","(not assigned)",INDEX('HMM Locations'!$C:$G,MATCH(F191,'HMM Locations'!$A:$A,0),D191)),"(not assigned)")</f>
        <v/>
      </c>
      <c r="J191" s="3">
        <f>IF(COUNTIF(G191:I191,"(not assigned)")=0,"Ready","Needs grid entry")</f>
        <v/>
      </c>
      <c r="K191" s="3" t="inlineStr"/>
      <c r="L191" s="3" t="inlineStr">
        <is>
          <t>跑步</t>
        </is>
      </c>
    </row>
    <row r="192" ht="15.75" customHeight="1" s="9">
      <c r="A192" s="7" t="inlineStr">
        <is>
          <t>常</t>
        </is>
      </c>
      <c r="B192" s="7" t="n">
        <v>2</v>
      </c>
      <c r="C192" s="3" t="inlineStr">
        <is>
          <t>cháng</t>
        </is>
      </c>
      <c r="D192" s="3" t="n">
        <v>2</v>
      </c>
      <c r="E192" s="3" t="inlineStr">
        <is>
          <t>CH</t>
        </is>
      </c>
      <c r="F192" s="3" t="inlineStr">
        <is>
          <t>ANG</t>
        </is>
      </c>
      <c r="G192" s="3">
        <f>IFERROR(IF(INDEX('HMM Actors'!$B:$B,MATCH(E192,'HMM Actors'!$A:$A,0))="","(not assigned)",INDEX('HMM Actors'!$B:$B,MATCH(E192,'HMM Actors'!$A:$A,0))),"(not assigned)")</f>
        <v/>
      </c>
      <c r="H192" s="3">
        <f>IFERROR(IF(INDEX('HMM Locations'!$B:$B,MATCH(F192,'HMM Locations'!$A:$A,0))="","(not assigned)",INDEX('HMM Locations'!$B:$B,MATCH(F192,'HMM Locations'!$A:$A,0))),"(not assigned)")</f>
        <v/>
      </c>
      <c r="I192" s="3">
        <f>IFERROR(IF(INDEX('HMM Locations'!$C:$G,MATCH(F192,'HMM Locations'!$A:$A,0),D192)="","(not assigned)",INDEX('HMM Locations'!$C:$G,MATCH(F192,'HMM Locations'!$A:$A,0),D192)),"(not assigned)")</f>
        <v/>
      </c>
      <c r="J192" s="3">
        <f>IF(COUNTIF(G192:I192,"(not assigned)")=0,"Ready","Needs grid entry")</f>
        <v/>
      </c>
      <c r="K192" s="3" t="inlineStr"/>
      <c r="L192" s="3" t="inlineStr">
        <is>
          <t>非常、经常</t>
        </is>
      </c>
    </row>
    <row r="193" ht="15.75" customHeight="1" s="9">
      <c r="A193" s="7" t="inlineStr">
        <is>
          <t>场</t>
        </is>
      </c>
      <c r="B193" s="7" t="n">
        <v>2</v>
      </c>
      <c r="C193" s="3" t="inlineStr">
        <is>
          <t>chǎng</t>
        </is>
      </c>
      <c r="D193" s="3" t="n">
        <v>3</v>
      </c>
      <c r="E193" s="3" t="inlineStr">
        <is>
          <t>CH</t>
        </is>
      </c>
      <c r="F193" s="3" t="inlineStr">
        <is>
          <t>ANG</t>
        </is>
      </c>
      <c r="G193" s="3">
        <f>IFERROR(IF(INDEX('HMM Actors'!$B:$B,MATCH(E193,'HMM Actors'!$A:$A,0))="","(not assigned)",INDEX('HMM Actors'!$B:$B,MATCH(E193,'HMM Actors'!$A:$A,0))),"(not assigned)")</f>
        <v/>
      </c>
      <c r="H193" s="3">
        <f>IFERROR(IF(INDEX('HMM Locations'!$B:$B,MATCH(F193,'HMM Locations'!$A:$A,0))="","(not assigned)",INDEX('HMM Locations'!$B:$B,MATCH(F193,'HMM Locations'!$A:$A,0))),"(not assigned)")</f>
        <v/>
      </c>
      <c r="I193" s="3">
        <f>IFERROR(IF(INDEX('HMM Locations'!$C:$G,MATCH(F193,'HMM Locations'!$A:$A,0),D193)="","(not assigned)",INDEX('HMM Locations'!$C:$G,MATCH(F193,'HMM Locations'!$A:$A,0),D193)),"(not assigned)")</f>
        <v/>
      </c>
      <c r="J193" s="3">
        <f>IF(COUNTIF(G193:I193,"(not assigned)")=0,"Ready","Needs grid entry")</f>
        <v/>
      </c>
      <c r="K193" s="3" t="inlineStr"/>
      <c r="L193" s="3" t="inlineStr">
        <is>
          <t>机场</t>
        </is>
      </c>
    </row>
    <row r="194" ht="15.75" customHeight="1" s="9">
      <c r="A194" s="7" t="inlineStr">
        <is>
          <t>唱</t>
        </is>
      </c>
      <c r="B194" s="7" t="n">
        <v>2</v>
      </c>
      <c r="C194" s="3" t="inlineStr">
        <is>
          <t>chàng</t>
        </is>
      </c>
      <c r="D194" s="3" t="n">
        <v>4</v>
      </c>
      <c r="E194" s="3" t="inlineStr">
        <is>
          <t>CH</t>
        </is>
      </c>
      <c r="F194" s="3" t="inlineStr">
        <is>
          <t>ANG</t>
        </is>
      </c>
      <c r="G194" s="3">
        <f>IFERROR(IF(INDEX('HMM Actors'!$B:$B,MATCH(E194,'HMM Actors'!$A:$A,0))="","(not assigned)",INDEX('HMM Actors'!$B:$B,MATCH(E194,'HMM Actors'!$A:$A,0))),"(not assigned)")</f>
        <v/>
      </c>
      <c r="H194" s="3">
        <f>IFERROR(IF(INDEX('HMM Locations'!$B:$B,MATCH(F194,'HMM Locations'!$A:$A,0))="","(not assigned)",INDEX('HMM Locations'!$B:$B,MATCH(F194,'HMM Locations'!$A:$A,0))),"(not assigned)")</f>
        <v/>
      </c>
      <c r="I194" s="3">
        <f>IFERROR(IF(INDEX('HMM Locations'!$C:$G,MATCH(F194,'HMM Locations'!$A:$A,0),D194)="","(not assigned)",INDEX('HMM Locations'!$C:$G,MATCH(F194,'HMM Locations'!$A:$A,0),D194)),"(not assigned)")</f>
        <v/>
      </c>
      <c r="J194" s="3">
        <f>IF(COUNTIF(G194:I194,"(not assigned)")=0,"Ready","Needs grid entry")</f>
        <v/>
      </c>
      <c r="K194" s="3" t="inlineStr"/>
      <c r="L194" s="3" t="inlineStr">
        <is>
          <t>唱歌</t>
        </is>
      </c>
    </row>
    <row r="195" ht="15.75" customHeight="1" s="9">
      <c r="A195" s="7" t="inlineStr">
        <is>
          <t>穿</t>
        </is>
      </c>
      <c r="B195" s="7" t="n">
        <v>2</v>
      </c>
      <c r="C195" s="3" t="inlineStr">
        <is>
          <t>chuān</t>
        </is>
      </c>
      <c r="D195" s="3" t="n">
        <v>1</v>
      </c>
      <c r="E195" s="3" t="inlineStr">
        <is>
          <t>CH</t>
        </is>
      </c>
      <c r="F195" s="3" t="inlineStr">
        <is>
          <t>UAN (14th, Jacob-specific)</t>
        </is>
      </c>
      <c r="G195" s="3">
        <f>IFERROR(IF(INDEX('HMM Actors'!$B:$B,MATCH(E195,'HMM Actors'!$A:$A,0))="","(not assigned)",INDEX('HMM Actors'!$B:$B,MATCH(E195,'HMM Actors'!$A:$A,0))),"(not assigned)")</f>
        <v/>
      </c>
      <c r="H195" s="3">
        <f>IFERROR(IF(INDEX('HMM Locations'!$B:$B,MATCH(F195,'HMM Locations'!$A:$A,0))="","(not assigned)",INDEX('HMM Locations'!$B:$B,MATCH(F195,'HMM Locations'!$A:$A,0))),"(not assigned)")</f>
        <v/>
      </c>
      <c r="I195" s="3">
        <f>IFERROR(IF(INDEX('HMM Locations'!$C:$G,MATCH(F195,'HMM Locations'!$A:$A,0),D195)="","(not assigned)",INDEX('HMM Locations'!$C:$G,MATCH(F195,'HMM Locations'!$A:$A,0),D195)),"(not assigned)")</f>
        <v/>
      </c>
      <c r="J195" s="3">
        <f>IF(COUNTIF(G195:I195,"(not assigned)")=0,"Ready","Needs grid entry")</f>
        <v/>
      </c>
      <c r="K195" s="3" t="inlineStr"/>
      <c r="L195" s="3" t="inlineStr">
        <is>
          <t>穿</t>
        </is>
      </c>
    </row>
    <row r="196" ht="15.75" customHeight="1" s="9">
      <c r="A196" s="7" t="inlineStr">
        <is>
          <t>床</t>
        </is>
      </c>
      <c r="B196" s="7" t="n">
        <v>2</v>
      </c>
      <c r="C196" s="3" t="inlineStr">
        <is>
          <t>chuáng</t>
        </is>
      </c>
      <c r="D196" s="3" t="n">
        <v>2</v>
      </c>
      <c r="E196" s="3" t="inlineStr">
        <is>
          <t>CH</t>
        </is>
      </c>
      <c r="F196" s="3" t="inlineStr">
        <is>
          <t>UANG</t>
        </is>
      </c>
      <c r="G196" s="3">
        <f>IFERROR(IF(INDEX('HMM Actors'!$B:$B,MATCH(E196,'HMM Actors'!$A:$A,0))="","(not assigned)",INDEX('HMM Actors'!$B:$B,MATCH(E196,'HMM Actors'!$A:$A,0))),"(not assigned)")</f>
        <v/>
      </c>
      <c r="H196" s="3">
        <f>IFERROR(IF(INDEX('HMM Locations'!$B:$B,MATCH(F196,'HMM Locations'!$A:$A,0))="","(not assigned)",INDEX('HMM Locations'!$B:$B,MATCH(F196,'HMM Locations'!$A:$A,0))),"(not assigned)")</f>
        <v/>
      </c>
      <c r="I196" s="3">
        <f>IFERROR(IF(INDEX('HMM Locations'!$C:$G,MATCH(F196,'HMM Locations'!$A:$A,0),D196)="","(not assigned)",INDEX('HMM Locations'!$C:$G,MATCH(F196,'HMM Locations'!$A:$A,0),D196)),"(not assigned)")</f>
        <v/>
      </c>
      <c r="J196" s="3">
        <f>IF(COUNTIF(G196:I196,"(not assigned)")=0,"Ready","Needs grid entry")</f>
        <v/>
      </c>
      <c r="K196" s="3" t="inlineStr"/>
      <c r="L196" s="3" t="inlineStr">
        <is>
          <t>起床</t>
        </is>
      </c>
    </row>
    <row r="197" ht="15.75" customHeight="1" s="9">
      <c r="A197" s="7" t="inlineStr">
        <is>
          <t>次</t>
        </is>
      </c>
      <c r="B197" s="7" t="n">
        <v>2</v>
      </c>
      <c r="C197" s="3" t="inlineStr">
        <is>
          <t>cì</t>
        </is>
      </c>
      <c r="D197" s="3" t="n">
        <v>4</v>
      </c>
      <c r="E197" s="3" t="inlineStr">
        <is>
          <t>C</t>
        </is>
      </c>
      <c r="F197" s="3" t="inlineStr">
        <is>
          <t>Ø (no final)</t>
        </is>
      </c>
      <c r="G197" s="3">
        <f>IFERROR(IF(INDEX('HMM Actors'!$B:$B,MATCH(E197,'HMM Actors'!$A:$A,0))="","(not assigned)",INDEX('HMM Actors'!$B:$B,MATCH(E197,'HMM Actors'!$A:$A,0))),"(not assigned)")</f>
        <v/>
      </c>
      <c r="H197" s="3">
        <f>IFERROR(IF(INDEX('HMM Locations'!$B:$B,MATCH(F197,'HMM Locations'!$A:$A,0))="","(not assigned)",INDEX('HMM Locations'!$B:$B,MATCH(F197,'HMM Locations'!$A:$A,0))),"(not assigned)")</f>
        <v/>
      </c>
      <c r="I197" s="3">
        <f>IFERROR(IF(INDEX('HMM Locations'!$C:$G,MATCH(F197,'HMM Locations'!$A:$A,0),D197)="","(not assigned)",INDEX('HMM Locations'!$C:$G,MATCH(F197,'HMM Locations'!$A:$A,0),D197)),"(not assigned)")</f>
        <v/>
      </c>
      <c r="J197" s="3">
        <f>IF(COUNTIF(G197:I197,"(not assigned)")=0,"Ready","Needs grid entry")</f>
        <v/>
      </c>
      <c r="K197" s="3" t="inlineStr"/>
      <c r="L197" s="3" t="inlineStr">
        <is>
          <t>次</t>
        </is>
      </c>
    </row>
    <row r="198" ht="15.75" customHeight="1" s="9">
      <c r="A198" s="7" t="inlineStr">
        <is>
          <t>从</t>
        </is>
      </c>
      <c r="B198" s="7" t="n">
        <v>2</v>
      </c>
      <c r="C198" s="3" t="inlineStr">
        <is>
          <t>cóng</t>
        </is>
      </c>
      <c r="D198" s="3" t="n">
        <v>2</v>
      </c>
      <c r="E198" s="3" t="inlineStr">
        <is>
          <t>C</t>
        </is>
      </c>
      <c r="F198" s="3" t="inlineStr">
        <is>
          <t>ONG</t>
        </is>
      </c>
      <c r="G198" s="3">
        <f>IFERROR(IF(INDEX('HMM Actors'!$B:$B,MATCH(E198,'HMM Actors'!$A:$A,0))="","(not assigned)",INDEX('HMM Actors'!$B:$B,MATCH(E198,'HMM Actors'!$A:$A,0))),"(not assigned)")</f>
        <v/>
      </c>
      <c r="H198" s="3">
        <f>IFERROR(IF(INDEX('HMM Locations'!$B:$B,MATCH(F198,'HMM Locations'!$A:$A,0))="","(not assigned)",INDEX('HMM Locations'!$B:$B,MATCH(F198,'HMM Locations'!$A:$A,0))),"(not assigned)")</f>
        <v/>
      </c>
      <c r="I198" s="3">
        <f>IFERROR(IF(INDEX('HMM Locations'!$C:$G,MATCH(F198,'HMM Locations'!$A:$A,0),D198)="","(not assigned)",INDEX('HMM Locations'!$C:$G,MATCH(F198,'HMM Locations'!$A:$A,0),D198)),"(not assigned)")</f>
        <v/>
      </c>
      <c r="J198" s="3">
        <f>IF(COUNTIF(G198:I198,"(not assigned)")=0,"Ready","Needs grid entry")</f>
        <v/>
      </c>
      <c r="K198" s="3" t="inlineStr"/>
      <c r="L198" s="3" t="inlineStr">
        <is>
          <t>从</t>
        </is>
      </c>
    </row>
    <row r="199" ht="15.75" customHeight="1" s="9">
      <c r="A199" s="7" t="inlineStr">
        <is>
          <t>错</t>
        </is>
      </c>
      <c r="B199" s="7" t="n">
        <v>2</v>
      </c>
      <c r="C199" s="3" t="inlineStr">
        <is>
          <t>cuò</t>
        </is>
      </c>
      <c r="D199" s="3" t="n">
        <v>4</v>
      </c>
      <c r="E199" s="3" t="inlineStr">
        <is>
          <t>C</t>
        </is>
      </c>
      <c r="F199" s="3" t="inlineStr">
        <is>
          <t>UO</t>
        </is>
      </c>
      <c r="G199" s="3">
        <f>IFERROR(IF(INDEX('HMM Actors'!$B:$B,MATCH(E199,'HMM Actors'!$A:$A,0))="","(not assigned)",INDEX('HMM Actors'!$B:$B,MATCH(E199,'HMM Actors'!$A:$A,0))),"(not assigned)")</f>
        <v/>
      </c>
      <c r="H199" s="3">
        <f>IFERROR(IF(INDEX('HMM Locations'!$B:$B,MATCH(F199,'HMM Locations'!$A:$A,0))="","(not assigned)",INDEX('HMM Locations'!$B:$B,MATCH(F199,'HMM Locations'!$A:$A,0))),"(not assigned)")</f>
        <v/>
      </c>
      <c r="I199" s="3">
        <f>IFERROR(IF(INDEX('HMM Locations'!$C:$G,MATCH(F199,'HMM Locations'!$A:$A,0),D199)="","(not assigned)",INDEX('HMM Locations'!$C:$G,MATCH(F199,'HMM Locations'!$A:$A,0),D199)),"(not assigned)")</f>
        <v/>
      </c>
      <c r="J199" s="3">
        <f>IF(COUNTIF(G199:I199,"(not assigned)")=0,"Ready","Needs grid entry")</f>
        <v/>
      </c>
      <c r="K199" s="3" t="inlineStr"/>
      <c r="L199" s="3" t="inlineStr">
        <is>
          <t>错</t>
        </is>
      </c>
    </row>
    <row r="200" ht="15.75" customHeight="1" s="9">
      <c r="A200" s="7" t="inlineStr">
        <is>
          <t>但</t>
        </is>
      </c>
      <c r="B200" s="7" t="n">
        <v>2</v>
      </c>
      <c r="C200" s="3" t="inlineStr">
        <is>
          <t>dàn</t>
        </is>
      </c>
      <c r="D200" s="3" t="n">
        <v>4</v>
      </c>
      <c r="E200" s="3" t="inlineStr">
        <is>
          <t>D</t>
        </is>
      </c>
      <c r="F200" s="3" t="inlineStr">
        <is>
          <t>AN</t>
        </is>
      </c>
      <c r="G200" s="3">
        <f>IFERROR(IF(INDEX('HMM Actors'!$B:$B,MATCH(E200,'HMM Actors'!$A:$A,0))="","(not assigned)",INDEX('HMM Actors'!$B:$B,MATCH(E200,'HMM Actors'!$A:$A,0))),"(not assigned)")</f>
        <v/>
      </c>
      <c r="H200" s="3">
        <f>IFERROR(IF(INDEX('HMM Locations'!$B:$B,MATCH(F200,'HMM Locations'!$A:$A,0))="","(not assigned)",INDEX('HMM Locations'!$B:$B,MATCH(F200,'HMM Locations'!$A:$A,0))),"(not assigned)")</f>
        <v/>
      </c>
      <c r="I200" s="3">
        <f>IFERROR(IF(INDEX('HMM Locations'!$C:$G,MATCH(F200,'HMM Locations'!$A:$A,0),D200)="","(not assigned)",INDEX('HMM Locations'!$C:$G,MATCH(F200,'HMM Locations'!$A:$A,0),D200)),"(not assigned)")</f>
        <v/>
      </c>
      <c r="J200" s="3">
        <f>IF(COUNTIF(G200:I200,"(not assigned)")=0,"Ready","Needs grid entry")</f>
        <v/>
      </c>
      <c r="K200" s="3" t="inlineStr"/>
      <c r="L200" s="3" t="inlineStr">
        <is>
          <t>虽然…但是…、不但…而且…</t>
        </is>
      </c>
    </row>
    <row r="201" ht="15.75" customHeight="1" s="9">
      <c r="A201" s="7" t="inlineStr">
        <is>
          <t>蛋</t>
        </is>
      </c>
      <c r="B201" s="7" t="n">
        <v>2</v>
      </c>
      <c r="C201" s="3" t="inlineStr">
        <is>
          <t>dàn</t>
        </is>
      </c>
      <c r="D201" s="3" t="n">
        <v>4</v>
      </c>
      <c r="E201" s="3" t="inlineStr">
        <is>
          <t>D</t>
        </is>
      </c>
      <c r="F201" s="3" t="inlineStr">
        <is>
          <t>AN</t>
        </is>
      </c>
      <c r="G201" s="3">
        <f>IFERROR(IF(INDEX('HMM Actors'!$B:$B,MATCH(E201,'HMM Actors'!$A:$A,0))="","(not assigned)",INDEX('HMM Actors'!$B:$B,MATCH(E201,'HMM Actors'!$A:$A,0))),"(not assigned)")</f>
        <v/>
      </c>
      <c r="H201" s="3">
        <f>IFERROR(IF(INDEX('HMM Locations'!$B:$B,MATCH(F201,'HMM Locations'!$A:$A,0))="","(not assigned)",INDEX('HMM Locations'!$B:$B,MATCH(F201,'HMM Locations'!$A:$A,0))),"(not assigned)")</f>
        <v/>
      </c>
      <c r="I201" s="3">
        <f>IFERROR(IF(INDEX('HMM Locations'!$C:$G,MATCH(F201,'HMM Locations'!$A:$A,0),D201)="","(not assigned)",INDEX('HMM Locations'!$C:$G,MATCH(F201,'HMM Locations'!$A:$A,0),D201)),"(not assigned)")</f>
        <v/>
      </c>
      <c r="J201" s="3">
        <f>IF(COUNTIF(G201:I201,"(not assigned)")=0,"Ready","Needs grid entry")</f>
        <v/>
      </c>
      <c r="K201" s="3" t="inlineStr"/>
      <c r="L201" s="3" t="inlineStr">
        <is>
          <t>鸡蛋、蛋糕</t>
        </is>
      </c>
    </row>
    <row r="202" ht="15.75" customHeight="1" s="9">
      <c r="A202" s="7" t="inlineStr">
        <is>
          <t>到</t>
        </is>
      </c>
      <c r="B202" s="7" t="n">
        <v>2</v>
      </c>
      <c r="C202" s="3" t="inlineStr">
        <is>
          <t>dào</t>
        </is>
      </c>
      <c r="D202" s="3" t="n">
        <v>4</v>
      </c>
      <c r="E202" s="3" t="inlineStr">
        <is>
          <t>D</t>
        </is>
      </c>
      <c r="F202" s="3" t="inlineStr">
        <is>
          <t>AO</t>
        </is>
      </c>
      <c r="G202" s="3">
        <f>IFERROR(IF(INDEX('HMM Actors'!$B:$B,MATCH(E202,'HMM Actors'!$A:$A,0))="","(not assigned)",INDEX('HMM Actors'!$B:$B,MATCH(E202,'HMM Actors'!$A:$A,0))),"(not assigned)")</f>
        <v/>
      </c>
      <c r="H202" s="3">
        <f>IFERROR(IF(INDEX('HMM Locations'!$B:$B,MATCH(F202,'HMM Locations'!$A:$A,0))="","(not assigned)",INDEX('HMM Locations'!$B:$B,MATCH(F202,'HMM Locations'!$A:$A,0))),"(not assigned)")</f>
        <v/>
      </c>
      <c r="I202" s="3">
        <f>IFERROR(IF(INDEX('HMM Locations'!$C:$G,MATCH(F202,'HMM Locations'!$A:$A,0),D202)="","(not assigned)",INDEX('HMM Locations'!$C:$G,MATCH(F202,'HMM Locations'!$A:$A,0),D202)),"(not assigned)")</f>
        <v/>
      </c>
      <c r="J202" s="3">
        <f>IF(COUNTIF(G202:I202,"(not assigned)")=0,"Ready","Needs grid entry")</f>
        <v/>
      </c>
      <c r="K202" s="3" t="inlineStr"/>
      <c r="L202" s="3" t="inlineStr">
        <is>
          <t>到、迟到、遇到</t>
        </is>
      </c>
    </row>
    <row r="203" ht="15.75" customHeight="1" s="9">
      <c r="A203" s="7" t="inlineStr">
        <is>
          <t>道</t>
        </is>
      </c>
      <c r="B203" s="7" t="n">
        <v>2</v>
      </c>
      <c r="C203" s="3" t="inlineStr">
        <is>
          <t>dào</t>
        </is>
      </c>
      <c r="D203" s="3" t="n">
        <v>4</v>
      </c>
      <c r="E203" s="3" t="inlineStr">
        <is>
          <t>D</t>
        </is>
      </c>
      <c r="F203" s="3" t="inlineStr">
        <is>
          <t>AO</t>
        </is>
      </c>
      <c r="G203" s="3">
        <f>IFERROR(IF(INDEX('HMM Actors'!$B:$B,MATCH(E203,'HMM Actors'!$A:$A,0))="","(not assigned)",INDEX('HMM Actors'!$B:$B,MATCH(E203,'HMM Actors'!$A:$A,0))),"(not assigned)")</f>
        <v/>
      </c>
      <c r="H203" s="3">
        <f>IFERROR(IF(INDEX('HMM Locations'!$B:$B,MATCH(F203,'HMM Locations'!$A:$A,0))="","(not assigned)",INDEX('HMM Locations'!$B:$B,MATCH(F203,'HMM Locations'!$A:$A,0))),"(not assigned)")</f>
        <v/>
      </c>
      <c r="I203" s="3">
        <f>IFERROR(IF(INDEX('HMM Locations'!$C:$G,MATCH(F203,'HMM Locations'!$A:$A,0),D203)="","(not assigned)",INDEX('HMM Locations'!$C:$G,MATCH(F203,'HMM Locations'!$A:$A,0),D203)),"(not assigned)")</f>
        <v/>
      </c>
      <c r="J203" s="3">
        <f>IF(COUNTIF(G203:I203,"(not assigned)")=0,"Ready","Needs grid entry")</f>
        <v/>
      </c>
      <c r="K203" s="3" t="inlineStr"/>
      <c r="L203" s="3" t="inlineStr">
        <is>
          <t>知道、街道</t>
        </is>
      </c>
    </row>
    <row r="204" ht="15.75" customHeight="1" s="9">
      <c r="A204" s="7" t="inlineStr">
        <is>
          <t>得</t>
        </is>
      </c>
      <c r="B204" s="7" t="n">
        <v>2</v>
      </c>
      <c r="C204" s="3" t="inlineStr">
        <is>
          <t>de</t>
        </is>
      </c>
      <c r="D204" s="3" t="n">
        <v>5</v>
      </c>
      <c r="E204" s="3" t="inlineStr">
        <is>
          <t>D</t>
        </is>
      </c>
      <c r="F204" s="3" t="inlineStr">
        <is>
          <t>E</t>
        </is>
      </c>
      <c r="G204" s="3">
        <f>IFERROR(IF(INDEX('HMM Actors'!$B:$B,MATCH(E204,'HMM Actors'!$A:$A,0))="","(not assigned)",INDEX('HMM Actors'!$B:$B,MATCH(E204,'HMM Actors'!$A:$A,0))),"(not assigned)")</f>
        <v/>
      </c>
      <c r="H204" s="3">
        <f>IFERROR(IF(INDEX('HMM Locations'!$B:$B,MATCH(F204,'HMM Locations'!$A:$A,0))="","(not assigned)",INDEX('HMM Locations'!$B:$B,MATCH(F204,'HMM Locations'!$A:$A,0))),"(not assigned)")</f>
        <v/>
      </c>
      <c r="I204" s="3">
        <f>IFERROR(IF(INDEX('HMM Locations'!$C:$G,MATCH(F204,'HMM Locations'!$A:$A,0),D204)="","(not assigned)",INDEX('HMM Locations'!$C:$G,MATCH(F204,'HMM Locations'!$A:$A,0),D204)),"(not assigned)")</f>
        <v/>
      </c>
      <c r="J204" s="3">
        <f>IF(COUNTIF(G204:I204,"(not assigned)")=0,"Ready","Needs grid entry")</f>
        <v/>
      </c>
      <c r="K204" s="3" t="inlineStr"/>
      <c r="L204" s="3" t="inlineStr">
        <is>
          <t>得、觉得、记得</t>
        </is>
      </c>
    </row>
    <row r="205" ht="15.75" customHeight="1" s="9">
      <c r="A205" s="7" t="inlineStr">
        <is>
          <t>等</t>
        </is>
      </c>
      <c r="B205" s="7" t="n">
        <v>2</v>
      </c>
      <c r="C205" s="3" t="inlineStr">
        <is>
          <t>děng</t>
        </is>
      </c>
      <c r="D205" s="3" t="n">
        <v>3</v>
      </c>
      <c r="E205" s="3" t="inlineStr">
        <is>
          <t>D</t>
        </is>
      </c>
      <c r="F205" s="3" t="inlineStr">
        <is>
          <t>(E)NG</t>
        </is>
      </c>
      <c r="G205" s="3">
        <f>IFERROR(IF(INDEX('HMM Actors'!$B:$B,MATCH(E205,'HMM Actors'!$A:$A,0))="","(not assigned)",INDEX('HMM Actors'!$B:$B,MATCH(E205,'HMM Actors'!$A:$A,0))),"(not assigned)")</f>
        <v/>
      </c>
      <c r="H205" s="3">
        <f>IFERROR(IF(INDEX('HMM Locations'!$B:$B,MATCH(F205,'HMM Locations'!$A:$A,0))="","(not assigned)",INDEX('HMM Locations'!$B:$B,MATCH(F205,'HMM Locations'!$A:$A,0))),"(not assigned)")</f>
        <v/>
      </c>
      <c r="I205" s="3">
        <f>IFERROR(IF(INDEX('HMM Locations'!$C:$G,MATCH(F205,'HMM Locations'!$A:$A,0),D205)="","(not assigned)",INDEX('HMM Locations'!$C:$G,MATCH(F205,'HMM Locations'!$A:$A,0),D205)),"(not assigned)")</f>
        <v/>
      </c>
      <c r="J205" s="3">
        <f>IF(COUNTIF(G205:I205,"(not assigned)")=0,"Ready","Needs grid entry")</f>
        <v/>
      </c>
      <c r="K205" s="3" t="inlineStr"/>
      <c r="L205" s="3" t="inlineStr">
        <is>
          <t>等</t>
        </is>
      </c>
    </row>
    <row r="206" ht="15.75" customHeight="1" s="9">
      <c r="A206" s="7" t="inlineStr">
        <is>
          <t>弟</t>
        </is>
      </c>
      <c r="B206" s="7" t="n">
        <v>2</v>
      </c>
      <c r="C206" s="3" t="inlineStr">
        <is>
          <t>dì</t>
        </is>
      </c>
      <c r="D206" s="3" t="n">
        <v>4</v>
      </c>
      <c r="E206" s="3" t="inlineStr">
        <is>
          <t>D</t>
        </is>
      </c>
      <c r="F206" s="3" t="inlineStr">
        <is>
          <t>I</t>
        </is>
      </c>
      <c r="G206" s="3">
        <f>IFERROR(IF(INDEX('HMM Actors'!$B:$B,MATCH(E206,'HMM Actors'!$A:$A,0))="","(not assigned)",INDEX('HMM Actors'!$B:$B,MATCH(E206,'HMM Actors'!$A:$A,0))),"(not assigned)")</f>
        <v/>
      </c>
      <c r="H206" s="3">
        <f>IFERROR(IF(INDEX('HMM Locations'!$B:$B,MATCH(F206,'HMM Locations'!$A:$A,0))="","(not assigned)",INDEX('HMM Locations'!$B:$B,MATCH(F206,'HMM Locations'!$A:$A,0))),"(not assigned)")</f>
        <v/>
      </c>
      <c r="I206" s="3">
        <f>IFERROR(IF(INDEX('HMM Locations'!$C:$G,MATCH(F206,'HMM Locations'!$A:$A,0),D206)="","(not assigned)",INDEX('HMM Locations'!$C:$G,MATCH(F206,'HMM Locations'!$A:$A,0),D206)),"(not assigned)")</f>
        <v/>
      </c>
      <c r="J206" s="3">
        <f>IF(COUNTIF(G206:I206,"(not assigned)")=0,"Ready","Needs grid entry")</f>
        <v/>
      </c>
      <c r="K206" s="3" t="inlineStr"/>
      <c r="L206" s="3" t="inlineStr">
        <is>
          <t>弟弟</t>
        </is>
      </c>
    </row>
    <row r="207" ht="15.75" customHeight="1" s="9">
      <c r="A207" s="7" t="inlineStr">
        <is>
          <t>第</t>
        </is>
      </c>
      <c r="B207" s="7" t="n">
        <v>2</v>
      </c>
      <c r="C207" s="3" t="inlineStr">
        <is>
          <t>dì</t>
        </is>
      </c>
      <c r="D207" s="3" t="n">
        <v>4</v>
      </c>
      <c r="E207" s="3" t="inlineStr">
        <is>
          <t>D</t>
        </is>
      </c>
      <c r="F207" s="3" t="inlineStr">
        <is>
          <t>I</t>
        </is>
      </c>
      <c r="G207" s="3">
        <f>IFERROR(IF(INDEX('HMM Actors'!$B:$B,MATCH(E207,'HMM Actors'!$A:$A,0))="","(not assigned)",INDEX('HMM Actors'!$B:$B,MATCH(E207,'HMM Actors'!$A:$A,0))),"(not assigned)")</f>
        <v/>
      </c>
      <c r="H207" s="3">
        <f>IFERROR(IF(INDEX('HMM Locations'!$B:$B,MATCH(F207,'HMM Locations'!$A:$A,0))="","(not assigned)",INDEX('HMM Locations'!$B:$B,MATCH(F207,'HMM Locations'!$A:$A,0))),"(not assigned)")</f>
        <v/>
      </c>
      <c r="I207" s="3">
        <f>IFERROR(IF(INDEX('HMM Locations'!$C:$G,MATCH(F207,'HMM Locations'!$A:$A,0),D207)="","(not assigned)",INDEX('HMM Locations'!$C:$G,MATCH(F207,'HMM Locations'!$A:$A,0),D207)),"(not assigned)")</f>
        <v/>
      </c>
      <c r="J207" s="3">
        <f>IF(COUNTIF(G207:I207,"(not assigned)")=0,"Ready","Needs grid entry")</f>
        <v/>
      </c>
      <c r="K207" s="3" t="inlineStr"/>
      <c r="L207" s="3" t="inlineStr">
        <is>
          <t>第一</t>
        </is>
      </c>
    </row>
    <row r="208" ht="15.75" customHeight="1" s="9">
      <c r="A208" s="7" t="inlineStr">
        <is>
          <t>懂</t>
        </is>
      </c>
      <c r="B208" s="7" t="n">
        <v>2</v>
      </c>
      <c r="C208" s="3" t="inlineStr">
        <is>
          <t>dǒng</t>
        </is>
      </c>
      <c r="D208" s="3" t="n">
        <v>3</v>
      </c>
      <c r="E208" s="3" t="inlineStr">
        <is>
          <t>D</t>
        </is>
      </c>
      <c r="F208" s="3" t="inlineStr">
        <is>
          <t>ONG</t>
        </is>
      </c>
      <c r="G208" s="3">
        <f>IFERROR(IF(INDEX('HMM Actors'!$B:$B,MATCH(E208,'HMM Actors'!$A:$A,0))="","(not assigned)",INDEX('HMM Actors'!$B:$B,MATCH(E208,'HMM Actors'!$A:$A,0))),"(not assigned)")</f>
        <v/>
      </c>
      <c r="H208" s="3">
        <f>IFERROR(IF(INDEX('HMM Locations'!$B:$B,MATCH(F208,'HMM Locations'!$A:$A,0))="","(not assigned)",INDEX('HMM Locations'!$B:$B,MATCH(F208,'HMM Locations'!$A:$A,0))),"(not assigned)")</f>
        <v/>
      </c>
      <c r="I208" s="3">
        <f>IFERROR(IF(INDEX('HMM Locations'!$C:$G,MATCH(F208,'HMM Locations'!$A:$A,0),D208)="","(not assigned)",INDEX('HMM Locations'!$C:$G,MATCH(F208,'HMM Locations'!$A:$A,0),D208)),"(not assigned)")</f>
        <v/>
      </c>
      <c r="J208" s="3">
        <f>IF(COUNTIF(G208:I208,"(not assigned)")=0,"Ready","Needs grid entry")</f>
        <v/>
      </c>
      <c r="K208" s="3" t="inlineStr"/>
      <c r="L208" s="3" t="inlineStr">
        <is>
          <t>懂</t>
        </is>
      </c>
    </row>
    <row r="209" ht="15.75" customHeight="1" s="9">
      <c r="A209" s="7" t="inlineStr">
        <is>
          <t>动</t>
        </is>
      </c>
      <c r="B209" s="7" t="n">
        <v>2</v>
      </c>
      <c r="C209" s="3" t="inlineStr">
        <is>
          <t>dòng</t>
        </is>
      </c>
      <c r="D209" s="3" t="n">
        <v>4</v>
      </c>
      <c r="E209" s="3" t="inlineStr">
        <is>
          <t>D</t>
        </is>
      </c>
      <c r="F209" s="3" t="inlineStr">
        <is>
          <t>ONG</t>
        </is>
      </c>
      <c r="G209" s="3">
        <f>IFERROR(IF(INDEX('HMM Actors'!$B:$B,MATCH(E209,'HMM Actors'!$A:$A,0))="","(not assigned)",INDEX('HMM Actors'!$B:$B,MATCH(E209,'HMM Actors'!$A:$A,0))),"(not assigned)")</f>
        <v/>
      </c>
      <c r="H209" s="3">
        <f>IFERROR(IF(INDEX('HMM Locations'!$B:$B,MATCH(F209,'HMM Locations'!$A:$A,0))="","(not assigned)",INDEX('HMM Locations'!$B:$B,MATCH(F209,'HMM Locations'!$A:$A,0))),"(not assigned)")</f>
        <v/>
      </c>
      <c r="I209" s="3">
        <f>IFERROR(IF(INDEX('HMM Locations'!$C:$G,MATCH(F209,'HMM Locations'!$A:$A,0),D209)="","(not assigned)",INDEX('HMM Locations'!$C:$G,MATCH(F209,'HMM Locations'!$A:$A,0),D209)),"(not assigned)")</f>
        <v/>
      </c>
      <c r="J209" s="3">
        <f>IF(COUNTIF(G209:I209,"(not assigned)")=0,"Ready","Needs grid entry")</f>
        <v/>
      </c>
      <c r="K209" s="3" t="inlineStr"/>
      <c r="L209" s="3" t="inlineStr">
        <is>
          <t>运动、动物</t>
        </is>
      </c>
    </row>
    <row r="210" ht="15.75" customHeight="1" s="9">
      <c r="A210" s="7" t="inlineStr">
        <is>
          <t>房</t>
        </is>
      </c>
      <c r="B210" s="7" t="n">
        <v>2</v>
      </c>
      <c r="C210" s="3" t="inlineStr">
        <is>
          <t>fáng</t>
        </is>
      </c>
      <c r="D210" s="3" t="n">
        <v>2</v>
      </c>
      <c r="E210" s="3" t="inlineStr">
        <is>
          <t>F</t>
        </is>
      </c>
      <c r="F210" s="3" t="inlineStr">
        <is>
          <t>ANG</t>
        </is>
      </c>
      <c r="G210" s="3">
        <f>IFERROR(IF(INDEX('HMM Actors'!$B:$B,MATCH(E210,'HMM Actors'!$A:$A,0))="","(not assigned)",INDEX('HMM Actors'!$B:$B,MATCH(E210,'HMM Actors'!$A:$A,0))),"(not assigned)")</f>
        <v/>
      </c>
      <c r="H210" s="3">
        <f>IFERROR(IF(INDEX('HMM Locations'!$B:$B,MATCH(F210,'HMM Locations'!$A:$A,0))="","(not assigned)",INDEX('HMM Locations'!$B:$B,MATCH(F210,'HMM Locations'!$A:$A,0))),"(not assigned)")</f>
        <v/>
      </c>
      <c r="I210" s="3">
        <f>IFERROR(IF(INDEX('HMM Locations'!$C:$G,MATCH(F210,'HMM Locations'!$A:$A,0),D210)="","(not assigned)",INDEX('HMM Locations'!$C:$G,MATCH(F210,'HMM Locations'!$A:$A,0),D210)),"(not assigned)")</f>
        <v/>
      </c>
      <c r="J210" s="3">
        <f>IF(COUNTIF(G210:I210,"(not assigned)")=0,"Ready","Needs grid entry")</f>
        <v/>
      </c>
      <c r="K210" s="3" t="inlineStr"/>
      <c r="L210" s="3" t="inlineStr">
        <is>
          <t>房间</t>
        </is>
      </c>
    </row>
    <row r="211" ht="15.75" customHeight="1" s="9">
      <c r="A211" s="7" t="inlineStr">
        <is>
          <t>非</t>
        </is>
      </c>
      <c r="B211" s="7" t="n">
        <v>2</v>
      </c>
      <c r="C211" s="3" t="inlineStr">
        <is>
          <t>fēi</t>
        </is>
      </c>
      <c r="D211" s="3" t="n">
        <v>1</v>
      </c>
      <c r="E211" s="3" t="inlineStr">
        <is>
          <t>F</t>
        </is>
      </c>
      <c r="F211" s="3" t="inlineStr">
        <is>
          <t>EI</t>
        </is>
      </c>
      <c r="G211" s="3">
        <f>IFERROR(IF(INDEX('HMM Actors'!$B:$B,MATCH(E211,'HMM Actors'!$A:$A,0))="","(not assigned)",INDEX('HMM Actors'!$B:$B,MATCH(E211,'HMM Actors'!$A:$A,0))),"(not assigned)")</f>
        <v/>
      </c>
      <c r="H211" s="3">
        <f>IFERROR(IF(INDEX('HMM Locations'!$B:$B,MATCH(F211,'HMM Locations'!$A:$A,0))="","(not assigned)",INDEX('HMM Locations'!$B:$B,MATCH(F211,'HMM Locations'!$A:$A,0))),"(not assigned)")</f>
        <v/>
      </c>
      <c r="I211" s="3">
        <f>IFERROR(IF(INDEX('HMM Locations'!$C:$G,MATCH(F211,'HMM Locations'!$A:$A,0),D211)="","(not assigned)",INDEX('HMM Locations'!$C:$G,MATCH(F211,'HMM Locations'!$A:$A,0),D211)),"(not assigned)")</f>
        <v/>
      </c>
      <c r="J211" s="3">
        <f>IF(COUNTIF(G211:I211,"(not assigned)")=0,"Ready","Needs grid entry")</f>
        <v/>
      </c>
      <c r="K211" s="3" t="inlineStr"/>
      <c r="L211" s="3" t="inlineStr">
        <is>
          <t>非常</t>
        </is>
      </c>
    </row>
    <row r="212" ht="15.75" customHeight="1" s="9">
      <c r="A212" s="7" t="inlineStr">
        <is>
          <t>啡</t>
        </is>
      </c>
      <c r="B212" s="7" t="n">
        <v>2</v>
      </c>
      <c r="C212" s="3" t="inlineStr">
        <is>
          <t>fēi</t>
        </is>
      </c>
      <c r="D212" s="3" t="n">
        <v>1</v>
      </c>
      <c r="E212" s="3" t="inlineStr">
        <is>
          <t>F</t>
        </is>
      </c>
      <c r="F212" s="3" t="inlineStr">
        <is>
          <t>EI</t>
        </is>
      </c>
      <c r="G212" s="3">
        <f>IFERROR(IF(INDEX('HMM Actors'!$B:$B,MATCH(E212,'HMM Actors'!$A:$A,0))="","(not assigned)",INDEX('HMM Actors'!$B:$B,MATCH(E212,'HMM Actors'!$A:$A,0))),"(not assigned)")</f>
        <v/>
      </c>
      <c r="H212" s="3">
        <f>IFERROR(IF(INDEX('HMM Locations'!$B:$B,MATCH(F212,'HMM Locations'!$A:$A,0))="","(not assigned)",INDEX('HMM Locations'!$B:$B,MATCH(F212,'HMM Locations'!$A:$A,0))),"(not assigned)")</f>
        <v/>
      </c>
      <c r="I212" s="3">
        <f>IFERROR(IF(INDEX('HMM Locations'!$C:$G,MATCH(F212,'HMM Locations'!$A:$A,0),D212)="","(not assigned)",INDEX('HMM Locations'!$C:$G,MATCH(F212,'HMM Locations'!$A:$A,0),D212)),"(not assigned)")</f>
        <v/>
      </c>
      <c r="J212" s="3">
        <f>IF(COUNTIF(G212:I212,"(not assigned)")=0,"Ready","Needs grid entry")</f>
        <v/>
      </c>
      <c r="K212" s="3" t="inlineStr"/>
      <c r="L212" s="3" t="inlineStr">
        <is>
          <t>咖啡</t>
        </is>
      </c>
    </row>
    <row r="213" ht="15.75" customHeight="1" s="9">
      <c r="A213" s="7" t="inlineStr">
        <is>
          <t>夫</t>
        </is>
      </c>
      <c r="B213" s="7" t="n">
        <v>2</v>
      </c>
      <c r="C213" s="3" t="inlineStr">
        <is>
          <t>fū</t>
        </is>
      </c>
      <c r="D213" s="3" t="n">
        <v>1</v>
      </c>
      <c r="E213" s="3" t="inlineStr">
        <is>
          <t>F</t>
        </is>
      </c>
      <c r="F213" s="3" t="inlineStr">
        <is>
          <t>U</t>
        </is>
      </c>
      <c r="G213" s="3">
        <f>IFERROR(IF(INDEX('HMM Actors'!$B:$B,MATCH(E213,'HMM Actors'!$A:$A,0))="","(not assigned)",INDEX('HMM Actors'!$B:$B,MATCH(E213,'HMM Actors'!$A:$A,0))),"(not assigned)")</f>
        <v/>
      </c>
      <c r="H213" s="3">
        <f>IFERROR(IF(INDEX('HMM Locations'!$B:$B,MATCH(F213,'HMM Locations'!$A:$A,0))="","(not assigned)",INDEX('HMM Locations'!$B:$B,MATCH(F213,'HMM Locations'!$A:$A,0))),"(not assigned)")</f>
        <v/>
      </c>
      <c r="I213" s="3">
        <f>IFERROR(IF(INDEX('HMM Locations'!$C:$G,MATCH(F213,'HMM Locations'!$A:$A,0),D213)="","(not assigned)",INDEX('HMM Locations'!$C:$G,MATCH(F213,'HMM Locations'!$A:$A,0),D213)),"(not assigned)")</f>
        <v/>
      </c>
      <c r="J213" s="3">
        <f>IF(COUNTIF(G213:I213,"(not assigned)")=0,"Ready","Needs grid entry")</f>
        <v/>
      </c>
      <c r="K213" s="3" t="inlineStr"/>
      <c r="L213" s="3" t="inlineStr">
        <is>
          <t>丈夫</t>
        </is>
      </c>
    </row>
    <row r="214" ht="15.75" customHeight="1" s="9">
      <c r="A214" s="7" t="inlineStr">
        <is>
          <t>告</t>
        </is>
      </c>
      <c r="B214" s="7" t="n">
        <v>2</v>
      </c>
      <c r="C214" s="3" t="inlineStr">
        <is>
          <t>gào</t>
        </is>
      </c>
      <c r="D214" s="3" t="n">
        <v>4</v>
      </c>
      <c r="E214" s="3" t="inlineStr">
        <is>
          <t>G</t>
        </is>
      </c>
      <c r="F214" s="3" t="inlineStr">
        <is>
          <t>AO</t>
        </is>
      </c>
      <c r="G214" s="3">
        <f>IFERROR(IF(INDEX('HMM Actors'!$B:$B,MATCH(E214,'HMM Actors'!$A:$A,0))="","(not assigned)",INDEX('HMM Actors'!$B:$B,MATCH(E214,'HMM Actors'!$A:$A,0))),"(not assigned)")</f>
        <v/>
      </c>
      <c r="H214" s="3">
        <f>IFERROR(IF(INDEX('HMM Locations'!$B:$B,MATCH(F214,'HMM Locations'!$A:$A,0))="","(not assigned)",INDEX('HMM Locations'!$B:$B,MATCH(F214,'HMM Locations'!$A:$A,0))),"(not assigned)")</f>
        <v/>
      </c>
      <c r="I214" s="3">
        <f>IFERROR(IF(INDEX('HMM Locations'!$C:$G,MATCH(F214,'HMM Locations'!$A:$A,0),D214)="","(not assigned)",INDEX('HMM Locations'!$C:$G,MATCH(F214,'HMM Locations'!$A:$A,0),D214)),"(not assigned)")</f>
        <v/>
      </c>
      <c r="J214" s="3">
        <f>IF(COUNTIF(G214:I214,"(not assigned)")=0,"Ready","Needs grid entry")</f>
        <v/>
      </c>
      <c r="K214" s="3" t="inlineStr"/>
      <c r="L214" s="3" t="inlineStr">
        <is>
          <t>告诉</t>
        </is>
      </c>
    </row>
    <row r="215" ht="15.75" customHeight="1" s="9">
      <c r="A215" s="7" t="inlineStr">
        <is>
          <t>哥</t>
        </is>
      </c>
      <c r="B215" s="7" t="n">
        <v>2</v>
      </c>
      <c r="C215" s="3" t="inlineStr">
        <is>
          <t>gē</t>
        </is>
      </c>
      <c r="D215" s="3" t="n">
        <v>1</v>
      </c>
      <c r="E215" s="3" t="inlineStr">
        <is>
          <t>G</t>
        </is>
      </c>
      <c r="F215" s="3" t="inlineStr">
        <is>
          <t>E</t>
        </is>
      </c>
      <c r="G215" s="3">
        <f>IFERROR(IF(INDEX('HMM Actors'!$B:$B,MATCH(E215,'HMM Actors'!$A:$A,0))="","(not assigned)",INDEX('HMM Actors'!$B:$B,MATCH(E215,'HMM Actors'!$A:$A,0))),"(not assigned)")</f>
        <v/>
      </c>
      <c r="H215" s="3">
        <f>IFERROR(IF(INDEX('HMM Locations'!$B:$B,MATCH(F215,'HMM Locations'!$A:$A,0))="","(not assigned)",INDEX('HMM Locations'!$B:$B,MATCH(F215,'HMM Locations'!$A:$A,0))),"(not assigned)")</f>
        <v/>
      </c>
      <c r="I215" s="3">
        <f>IFERROR(IF(INDEX('HMM Locations'!$C:$G,MATCH(F215,'HMM Locations'!$A:$A,0),D215)="","(not assigned)",INDEX('HMM Locations'!$C:$G,MATCH(F215,'HMM Locations'!$A:$A,0),D215)),"(not assigned)")</f>
        <v/>
      </c>
      <c r="J215" s="3">
        <f>IF(COUNTIF(G215:I215,"(not assigned)")=0,"Ready","Needs grid entry")</f>
        <v/>
      </c>
      <c r="K215" s="3" t="inlineStr"/>
      <c r="L215" s="3" t="inlineStr">
        <is>
          <t>哥哥</t>
        </is>
      </c>
    </row>
    <row r="216" ht="15.75" customHeight="1" s="9">
      <c r="A216" s="7" t="inlineStr">
        <is>
          <t>歌</t>
        </is>
      </c>
      <c r="B216" s="7" t="n">
        <v>2</v>
      </c>
      <c r="C216" s="3" t="inlineStr">
        <is>
          <t>gē</t>
        </is>
      </c>
      <c r="D216" s="3" t="n">
        <v>1</v>
      </c>
      <c r="E216" s="3" t="inlineStr">
        <is>
          <t>G</t>
        </is>
      </c>
      <c r="F216" s="3" t="inlineStr">
        <is>
          <t>E</t>
        </is>
      </c>
      <c r="G216" s="3">
        <f>IFERROR(IF(INDEX('HMM Actors'!$B:$B,MATCH(E216,'HMM Actors'!$A:$A,0))="","(not assigned)",INDEX('HMM Actors'!$B:$B,MATCH(E216,'HMM Actors'!$A:$A,0))),"(not assigned)")</f>
        <v/>
      </c>
      <c r="H216" s="3">
        <f>IFERROR(IF(INDEX('HMM Locations'!$B:$B,MATCH(F216,'HMM Locations'!$A:$A,0))="","(not assigned)",INDEX('HMM Locations'!$B:$B,MATCH(F216,'HMM Locations'!$A:$A,0))),"(not assigned)")</f>
        <v/>
      </c>
      <c r="I216" s="3">
        <f>IFERROR(IF(INDEX('HMM Locations'!$C:$G,MATCH(F216,'HMM Locations'!$A:$A,0),D216)="","(not assigned)",INDEX('HMM Locations'!$C:$G,MATCH(F216,'HMM Locations'!$A:$A,0),D216)),"(not assigned)")</f>
        <v/>
      </c>
      <c r="J216" s="3">
        <f>IF(COUNTIF(G216:I216,"(not assigned)")=0,"Ready","Needs grid entry")</f>
        <v/>
      </c>
      <c r="K216" s="3" t="inlineStr"/>
      <c r="L216" s="3" t="inlineStr">
        <is>
          <t>唱歌</t>
        </is>
      </c>
    </row>
    <row r="217" ht="15.75" customHeight="1" s="9">
      <c r="A217" s="7" t="inlineStr">
        <is>
          <t>给</t>
        </is>
      </c>
      <c r="B217" s="7" t="n">
        <v>2</v>
      </c>
      <c r="C217" s="3" t="inlineStr">
        <is>
          <t>gěi</t>
        </is>
      </c>
      <c r="D217" s="3" t="n">
        <v>3</v>
      </c>
      <c r="E217" s="3" t="inlineStr">
        <is>
          <t>G</t>
        </is>
      </c>
      <c r="F217" s="3" t="inlineStr">
        <is>
          <t>EI</t>
        </is>
      </c>
      <c r="G217" s="3">
        <f>IFERROR(IF(INDEX('HMM Actors'!$B:$B,MATCH(E217,'HMM Actors'!$A:$A,0))="","(not assigned)",INDEX('HMM Actors'!$B:$B,MATCH(E217,'HMM Actors'!$A:$A,0))),"(not assigned)")</f>
        <v/>
      </c>
      <c r="H217" s="3">
        <f>IFERROR(IF(INDEX('HMM Locations'!$B:$B,MATCH(F217,'HMM Locations'!$A:$A,0))="","(not assigned)",INDEX('HMM Locations'!$B:$B,MATCH(F217,'HMM Locations'!$A:$A,0))),"(not assigned)")</f>
        <v/>
      </c>
      <c r="I217" s="3">
        <f>IFERROR(IF(INDEX('HMM Locations'!$C:$G,MATCH(F217,'HMM Locations'!$A:$A,0),D217)="","(not assigned)",INDEX('HMM Locations'!$C:$G,MATCH(F217,'HMM Locations'!$A:$A,0),D217)),"(not assigned)")</f>
        <v/>
      </c>
      <c r="J217" s="3">
        <f>IF(COUNTIF(G217:I217,"(not assigned)")=0,"Ready","Needs grid entry")</f>
        <v/>
      </c>
      <c r="K217" s="3" t="inlineStr"/>
      <c r="L217" s="3" t="inlineStr">
        <is>
          <t>给</t>
        </is>
      </c>
    </row>
    <row r="218" ht="15.75" customHeight="1" s="9">
      <c r="A218" s="7" t="inlineStr">
        <is>
          <t>公</t>
        </is>
      </c>
      <c r="B218" s="7" t="n">
        <v>2</v>
      </c>
      <c r="C218" s="3" t="inlineStr">
        <is>
          <t>gōng</t>
        </is>
      </c>
      <c r="D218" s="3" t="n">
        <v>1</v>
      </c>
      <c r="E218" s="3" t="inlineStr">
        <is>
          <t>G</t>
        </is>
      </c>
      <c r="F218" s="3" t="inlineStr">
        <is>
          <t>ONG</t>
        </is>
      </c>
      <c r="G218" s="3">
        <f>IFERROR(IF(INDEX('HMM Actors'!$B:$B,MATCH(E218,'HMM Actors'!$A:$A,0))="","(not assigned)",INDEX('HMM Actors'!$B:$B,MATCH(E218,'HMM Actors'!$A:$A,0))),"(not assigned)")</f>
        <v/>
      </c>
      <c r="H218" s="3">
        <f>IFERROR(IF(INDEX('HMM Locations'!$B:$B,MATCH(F218,'HMM Locations'!$A:$A,0))="","(not assigned)",INDEX('HMM Locations'!$B:$B,MATCH(F218,'HMM Locations'!$A:$A,0))),"(not assigned)")</f>
        <v/>
      </c>
      <c r="I218" s="3">
        <f>IFERROR(IF(INDEX('HMM Locations'!$C:$G,MATCH(F218,'HMM Locations'!$A:$A,0),D218)="","(not assigned)",INDEX('HMM Locations'!$C:$G,MATCH(F218,'HMM Locations'!$A:$A,0),D218)),"(not assigned)")</f>
        <v/>
      </c>
      <c r="J218" s="3">
        <f>IF(COUNTIF(G218:I218,"(not assigned)")=0,"Ready","Needs grid entry")</f>
        <v/>
      </c>
      <c r="K218" s="3" t="inlineStr"/>
      <c r="L218" s="3" t="inlineStr">
        <is>
          <t>公共汽车、公司、办公室、公斤</t>
        </is>
      </c>
    </row>
    <row r="219" ht="15.75" customHeight="1" s="9">
      <c r="A219" s="7" t="inlineStr">
        <is>
          <t>共</t>
        </is>
      </c>
      <c r="B219" s="7" t="n">
        <v>2</v>
      </c>
      <c r="C219" s="3" t="inlineStr">
        <is>
          <t>gòng</t>
        </is>
      </c>
      <c r="D219" s="3" t="n">
        <v>4</v>
      </c>
      <c r="E219" s="3" t="inlineStr">
        <is>
          <t>G</t>
        </is>
      </c>
      <c r="F219" s="3" t="inlineStr">
        <is>
          <t>ONG</t>
        </is>
      </c>
      <c r="G219" s="3">
        <f>IFERROR(IF(INDEX('HMM Actors'!$B:$B,MATCH(E219,'HMM Actors'!$A:$A,0))="","(not assigned)",INDEX('HMM Actors'!$B:$B,MATCH(E219,'HMM Actors'!$A:$A,0))),"(not assigned)")</f>
        <v/>
      </c>
      <c r="H219" s="3">
        <f>IFERROR(IF(INDEX('HMM Locations'!$B:$B,MATCH(F219,'HMM Locations'!$A:$A,0))="","(not assigned)",INDEX('HMM Locations'!$B:$B,MATCH(F219,'HMM Locations'!$A:$A,0))),"(not assigned)")</f>
        <v/>
      </c>
      <c r="I219" s="3">
        <f>IFERROR(IF(INDEX('HMM Locations'!$C:$G,MATCH(F219,'HMM Locations'!$A:$A,0),D219)="","(not assigned)",INDEX('HMM Locations'!$C:$G,MATCH(F219,'HMM Locations'!$A:$A,0),D219)),"(not assigned)")</f>
        <v/>
      </c>
      <c r="J219" s="3">
        <f>IF(COUNTIF(G219:I219,"(not assigned)")=0,"Ready","Needs grid entry")</f>
        <v/>
      </c>
      <c r="K219" s="3" t="inlineStr"/>
      <c r="L219" s="3" t="inlineStr">
        <is>
          <t>公共汽车、一共</t>
        </is>
      </c>
    </row>
    <row r="220" ht="15.75" customHeight="1" s="9">
      <c r="A220" s="7" t="inlineStr">
        <is>
          <t>瓜</t>
        </is>
      </c>
      <c r="B220" s="7" t="n">
        <v>2</v>
      </c>
      <c r="C220" s="3" t="inlineStr">
        <is>
          <t>guā</t>
        </is>
      </c>
      <c r="D220" s="3" t="n">
        <v>1</v>
      </c>
      <c r="E220" s="3" t="inlineStr">
        <is>
          <t>G</t>
        </is>
      </c>
      <c r="F220" s="3" t="inlineStr">
        <is>
          <t>UA</t>
        </is>
      </c>
      <c r="G220" s="3">
        <f>IFERROR(IF(INDEX('HMM Actors'!$B:$B,MATCH(E220,'HMM Actors'!$A:$A,0))="","(not assigned)",INDEX('HMM Actors'!$B:$B,MATCH(E220,'HMM Actors'!$A:$A,0))),"(not assigned)")</f>
        <v/>
      </c>
      <c r="H220" s="3">
        <f>IFERROR(IF(INDEX('HMM Locations'!$B:$B,MATCH(F220,'HMM Locations'!$A:$A,0))="","(not assigned)",INDEX('HMM Locations'!$B:$B,MATCH(F220,'HMM Locations'!$A:$A,0))),"(not assigned)")</f>
        <v/>
      </c>
      <c r="I220" s="3">
        <f>IFERROR(IF(INDEX('HMM Locations'!$C:$G,MATCH(F220,'HMM Locations'!$A:$A,0),D220)="","(not assigned)",INDEX('HMM Locations'!$C:$G,MATCH(F220,'HMM Locations'!$A:$A,0),D220)),"(not assigned)")</f>
        <v/>
      </c>
      <c r="J220" s="3">
        <f>IF(COUNTIF(G220:I220,"(not assigned)")=0,"Ready","Needs grid entry")</f>
        <v/>
      </c>
      <c r="K220" s="3" t="inlineStr"/>
      <c r="L220" s="3" t="inlineStr">
        <is>
          <t>西瓜</t>
        </is>
      </c>
    </row>
    <row r="221" ht="15.75" customHeight="1" s="9">
      <c r="A221" s="7" t="inlineStr">
        <is>
          <t>馆</t>
        </is>
      </c>
      <c r="B221" s="7" t="n">
        <v>2</v>
      </c>
      <c r="C221" s="3" t="inlineStr">
        <is>
          <t>guǎn</t>
        </is>
      </c>
      <c r="D221" s="3" t="n">
        <v>3</v>
      </c>
      <c r="E221" s="3" t="inlineStr">
        <is>
          <t>G</t>
        </is>
      </c>
      <c r="F221" s="3" t="inlineStr">
        <is>
          <t>UAN (14th, Jacob-specific)</t>
        </is>
      </c>
      <c r="G221" s="3">
        <f>IFERROR(IF(INDEX('HMM Actors'!$B:$B,MATCH(E221,'HMM Actors'!$A:$A,0))="","(not assigned)",INDEX('HMM Actors'!$B:$B,MATCH(E221,'HMM Actors'!$A:$A,0))),"(not assigned)")</f>
        <v/>
      </c>
      <c r="H221" s="3">
        <f>IFERROR(IF(INDEX('HMM Locations'!$B:$B,MATCH(F221,'HMM Locations'!$A:$A,0))="","(not assigned)",INDEX('HMM Locations'!$B:$B,MATCH(F221,'HMM Locations'!$A:$A,0))),"(not assigned)")</f>
        <v/>
      </c>
      <c r="I221" s="3">
        <f>IFERROR(IF(INDEX('HMM Locations'!$C:$G,MATCH(F221,'HMM Locations'!$A:$A,0),D221)="","(not assigned)",INDEX('HMM Locations'!$C:$G,MATCH(F221,'HMM Locations'!$A:$A,0),D221)),"(not assigned)")</f>
        <v/>
      </c>
      <c r="J221" s="3">
        <f>IF(COUNTIF(G221:I221,"(not assigned)")=0,"Ready","Needs grid entry")</f>
        <v/>
      </c>
      <c r="K221" s="3" t="inlineStr"/>
      <c r="L221" s="3" t="inlineStr">
        <is>
          <t>宾馆、图书馆</t>
        </is>
      </c>
    </row>
    <row r="222" ht="15.75" customHeight="1" s="9">
      <c r="A222" s="7" t="inlineStr">
        <is>
          <t>贵</t>
        </is>
      </c>
      <c r="B222" s="7" t="n">
        <v>2</v>
      </c>
      <c r="C222" s="3" t="inlineStr">
        <is>
          <t>guì</t>
        </is>
      </c>
      <c r="D222" s="3" t="n">
        <v>4</v>
      </c>
      <c r="E222" s="3" t="inlineStr">
        <is>
          <t>G</t>
        </is>
      </c>
      <c r="F222" s="3" t="inlineStr">
        <is>
          <t>UI</t>
        </is>
      </c>
      <c r="G222" s="3">
        <f>IFERROR(IF(INDEX('HMM Actors'!$B:$B,MATCH(E222,'HMM Actors'!$A:$A,0))="","(not assigned)",INDEX('HMM Actors'!$B:$B,MATCH(E222,'HMM Actors'!$A:$A,0))),"(not assigned)")</f>
        <v/>
      </c>
      <c r="H222" s="3">
        <f>IFERROR(IF(INDEX('HMM Locations'!$B:$B,MATCH(F222,'HMM Locations'!$A:$A,0))="","(not assigned)",INDEX('HMM Locations'!$B:$B,MATCH(F222,'HMM Locations'!$A:$A,0))),"(not assigned)")</f>
        <v/>
      </c>
      <c r="I222" s="3">
        <f>IFERROR(IF(INDEX('HMM Locations'!$C:$G,MATCH(F222,'HMM Locations'!$A:$A,0),D222)="","(not assigned)",INDEX('HMM Locations'!$C:$G,MATCH(F222,'HMM Locations'!$A:$A,0),D222)),"(not assigned)")</f>
        <v/>
      </c>
      <c r="J222" s="3">
        <f>IF(COUNTIF(G222:I222,"(not assigned)")=0,"Ready","Needs grid entry")</f>
        <v/>
      </c>
      <c r="K222" s="3" t="inlineStr"/>
      <c r="L222" s="3" t="inlineStr">
        <is>
          <t>贵</t>
        </is>
      </c>
    </row>
    <row r="223" ht="15.75" customHeight="1" s="9">
      <c r="A223" s="7" t="inlineStr">
        <is>
          <t>过</t>
        </is>
      </c>
      <c r="B223" s="7" t="n">
        <v>2</v>
      </c>
      <c r="C223" s="3" t="inlineStr">
        <is>
          <t>guò</t>
        </is>
      </c>
      <c r="D223" s="3" t="n">
        <v>4</v>
      </c>
      <c r="E223" s="3" t="inlineStr">
        <is>
          <t>G</t>
        </is>
      </c>
      <c r="F223" s="3" t="inlineStr">
        <is>
          <t>UO</t>
        </is>
      </c>
      <c r="G223" s="3">
        <f>IFERROR(IF(INDEX('HMM Actors'!$B:$B,MATCH(E223,'HMM Actors'!$A:$A,0))="","(not assigned)",INDEX('HMM Actors'!$B:$B,MATCH(E223,'HMM Actors'!$A:$A,0))),"(not assigned)")</f>
        <v/>
      </c>
      <c r="H223" s="3">
        <f>IFERROR(IF(INDEX('HMM Locations'!$B:$B,MATCH(F223,'HMM Locations'!$A:$A,0))="","(not assigned)",INDEX('HMM Locations'!$B:$B,MATCH(F223,'HMM Locations'!$A:$A,0))),"(not assigned)")</f>
        <v/>
      </c>
      <c r="I223" s="3">
        <f>IFERROR(IF(INDEX('HMM Locations'!$C:$G,MATCH(F223,'HMM Locations'!$A:$A,0),D223)="","(not assigned)",INDEX('HMM Locations'!$C:$G,MATCH(F223,'HMM Locations'!$A:$A,0),D223)),"(not assigned)")</f>
        <v/>
      </c>
      <c r="J223" s="3">
        <f>IF(COUNTIF(G223:I223,"(not assigned)")=0,"Ready","Needs grid entry")</f>
        <v/>
      </c>
      <c r="K223" s="3" t="inlineStr"/>
      <c r="L223" s="3" t="inlineStr">
        <is>
          <t>过、过去、经过、难过</t>
        </is>
      </c>
    </row>
    <row r="224" ht="15.75" customHeight="1" s="9">
      <c r="A224" s="7" t="inlineStr">
        <is>
          <t>还</t>
        </is>
      </c>
      <c r="B224" s="7" t="n">
        <v>2</v>
      </c>
      <c r="C224" s="3" t="inlineStr">
        <is>
          <t>huán</t>
        </is>
      </c>
      <c r="D224" s="3" t="n">
        <v>2</v>
      </c>
      <c r="E224" s="3" t="inlineStr">
        <is>
          <t>H</t>
        </is>
      </c>
      <c r="F224" s="3" t="inlineStr">
        <is>
          <t>UAN (14th, Jacob-specific)</t>
        </is>
      </c>
      <c r="G224" s="3">
        <f>IFERROR(IF(INDEX('HMM Actors'!$B:$B,MATCH(E224,'HMM Actors'!$A:$A,0))="","(not assigned)",INDEX('HMM Actors'!$B:$B,MATCH(E224,'HMM Actors'!$A:$A,0))),"(not assigned)")</f>
        <v/>
      </c>
      <c r="H224" s="3">
        <f>IFERROR(IF(INDEX('HMM Locations'!$B:$B,MATCH(F224,'HMM Locations'!$A:$A,0))="","(not assigned)",INDEX('HMM Locations'!$B:$B,MATCH(F224,'HMM Locations'!$A:$A,0))),"(not assigned)")</f>
        <v/>
      </c>
      <c r="I224" s="3">
        <f>IFERROR(IF(INDEX('HMM Locations'!$C:$G,MATCH(F224,'HMM Locations'!$A:$A,0),D224)="","(not assigned)",INDEX('HMM Locations'!$C:$G,MATCH(F224,'HMM Locations'!$A:$A,0),D224)),"(not assigned)")</f>
        <v/>
      </c>
      <c r="J224" s="3">
        <f>IF(COUNTIF(G224:I224,"(not assigned)")=0,"Ready","Needs grid entry")</f>
        <v/>
      </c>
      <c r="K224" s="3" t="inlineStr">
        <is>
          <t>hái</t>
        </is>
      </c>
      <c r="L224" s="3" t="inlineStr">
        <is>
          <t>还、还是</t>
        </is>
      </c>
    </row>
    <row r="225" ht="15.75" customHeight="1" s="9">
      <c r="A225" s="7" t="inlineStr">
        <is>
          <t>孩</t>
        </is>
      </c>
      <c r="B225" s="7" t="n">
        <v>2</v>
      </c>
      <c r="C225" s="3" t="inlineStr">
        <is>
          <t>hái</t>
        </is>
      </c>
      <c r="D225" s="3" t="n">
        <v>2</v>
      </c>
      <c r="E225" s="3" t="inlineStr">
        <is>
          <t>H</t>
        </is>
      </c>
      <c r="F225" s="3" t="inlineStr">
        <is>
          <t>AI</t>
        </is>
      </c>
      <c r="G225" s="3">
        <f>IFERROR(IF(INDEX('HMM Actors'!$B:$B,MATCH(E225,'HMM Actors'!$A:$A,0))="","(not assigned)",INDEX('HMM Actors'!$B:$B,MATCH(E225,'HMM Actors'!$A:$A,0))),"(not assigned)")</f>
        <v/>
      </c>
      <c r="H225" s="3">
        <f>IFERROR(IF(INDEX('HMM Locations'!$B:$B,MATCH(F225,'HMM Locations'!$A:$A,0))="","(not assigned)",INDEX('HMM Locations'!$B:$B,MATCH(F225,'HMM Locations'!$A:$A,0))),"(not assigned)")</f>
        <v/>
      </c>
      <c r="I225" s="3">
        <f>IFERROR(IF(INDEX('HMM Locations'!$C:$G,MATCH(F225,'HMM Locations'!$A:$A,0),D225)="","(not assigned)",INDEX('HMM Locations'!$C:$G,MATCH(F225,'HMM Locations'!$A:$A,0),D225)),"(not assigned)")</f>
        <v/>
      </c>
      <c r="J225" s="3">
        <f>IF(COUNTIF(G225:I225,"(not assigned)")=0,"Ready","Needs grid entry")</f>
        <v/>
      </c>
      <c r="K225" s="3" t="inlineStr"/>
      <c r="L225" s="3" t="inlineStr">
        <is>
          <t>孩子</t>
        </is>
      </c>
    </row>
    <row r="226" ht="15.75" customHeight="1" s="9">
      <c r="A226" s="7" t="inlineStr">
        <is>
          <t>黑</t>
        </is>
      </c>
      <c r="B226" s="7" t="n">
        <v>2</v>
      </c>
      <c r="C226" s="3" t="inlineStr">
        <is>
          <t>hēi</t>
        </is>
      </c>
      <c r="D226" s="3" t="n">
        <v>1</v>
      </c>
      <c r="E226" s="3" t="inlineStr">
        <is>
          <t>H</t>
        </is>
      </c>
      <c r="F226" s="3" t="inlineStr">
        <is>
          <t>EI</t>
        </is>
      </c>
      <c r="G226" s="3">
        <f>IFERROR(IF(INDEX('HMM Actors'!$B:$B,MATCH(E226,'HMM Actors'!$A:$A,0))="","(not assigned)",INDEX('HMM Actors'!$B:$B,MATCH(E226,'HMM Actors'!$A:$A,0))),"(not assigned)")</f>
        <v/>
      </c>
      <c r="H226" s="3">
        <f>IFERROR(IF(INDEX('HMM Locations'!$B:$B,MATCH(F226,'HMM Locations'!$A:$A,0))="","(not assigned)",INDEX('HMM Locations'!$B:$B,MATCH(F226,'HMM Locations'!$A:$A,0))),"(not assigned)")</f>
        <v/>
      </c>
      <c r="I226" s="3">
        <f>IFERROR(IF(INDEX('HMM Locations'!$C:$G,MATCH(F226,'HMM Locations'!$A:$A,0),D226)="","(not assigned)",INDEX('HMM Locations'!$C:$G,MATCH(F226,'HMM Locations'!$A:$A,0),D226)),"(not assigned)")</f>
        <v/>
      </c>
      <c r="J226" s="3">
        <f>IF(COUNTIF(G226:I226,"(not assigned)")=0,"Ready","Needs grid entry")</f>
        <v/>
      </c>
      <c r="K226" s="3" t="inlineStr"/>
      <c r="L226" s="3" t="inlineStr">
        <is>
          <t>黑、黑板</t>
        </is>
      </c>
    </row>
    <row r="227" ht="15.75" customHeight="1" s="9">
      <c r="A227" s="7" t="inlineStr">
        <is>
          <t>红</t>
        </is>
      </c>
      <c r="B227" s="7" t="n">
        <v>2</v>
      </c>
      <c r="C227" s="3" t="inlineStr">
        <is>
          <t>hóng</t>
        </is>
      </c>
      <c r="D227" s="3" t="n">
        <v>2</v>
      </c>
      <c r="E227" s="3" t="inlineStr">
        <is>
          <t>H</t>
        </is>
      </c>
      <c r="F227" s="3" t="inlineStr">
        <is>
          <t>ONG</t>
        </is>
      </c>
      <c r="G227" s="3">
        <f>IFERROR(IF(INDEX('HMM Actors'!$B:$B,MATCH(E227,'HMM Actors'!$A:$A,0))="","(not assigned)",INDEX('HMM Actors'!$B:$B,MATCH(E227,'HMM Actors'!$A:$A,0))),"(not assigned)")</f>
        <v/>
      </c>
      <c r="H227" s="3">
        <f>IFERROR(IF(INDEX('HMM Locations'!$B:$B,MATCH(F227,'HMM Locations'!$A:$A,0))="","(not assigned)",INDEX('HMM Locations'!$B:$B,MATCH(F227,'HMM Locations'!$A:$A,0))),"(not assigned)")</f>
        <v/>
      </c>
      <c r="I227" s="3">
        <f>IFERROR(IF(INDEX('HMM Locations'!$C:$G,MATCH(F227,'HMM Locations'!$A:$A,0),D227)="","(not assigned)",INDEX('HMM Locations'!$C:$G,MATCH(F227,'HMM Locations'!$A:$A,0),D227)),"(not assigned)")</f>
        <v/>
      </c>
      <c r="J227" s="3">
        <f>IF(COUNTIF(G227:I227,"(not assigned)")=0,"Ready","Needs grid entry")</f>
        <v/>
      </c>
      <c r="K227" s="3" t="inlineStr"/>
      <c r="L227" s="3" t="inlineStr">
        <is>
          <t>红</t>
        </is>
      </c>
    </row>
    <row r="228" ht="15.75" customHeight="1" s="9">
      <c r="A228" s="7" t="inlineStr">
        <is>
          <t>火</t>
        </is>
      </c>
      <c r="B228" s="7" t="n">
        <v>2</v>
      </c>
      <c r="C228" s="3" t="inlineStr">
        <is>
          <t>huǒ</t>
        </is>
      </c>
      <c r="D228" s="3" t="n">
        <v>3</v>
      </c>
      <c r="E228" s="3" t="inlineStr">
        <is>
          <t>H</t>
        </is>
      </c>
      <c r="F228" s="3" t="inlineStr">
        <is>
          <t>UO</t>
        </is>
      </c>
      <c r="G228" s="3">
        <f>IFERROR(IF(INDEX('HMM Actors'!$B:$B,MATCH(E228,'HMM Actors'!$A:$A,0))="","(not assigned)",INDEX('HMM Actors'!$B:$B,MATCH(E228,'HMM Actors'!$A:$A,0))),"(not assigned)")</f>
        <v/>
      </c>
      <c r="H228" s="3">
        <f>IFERROR(IF(INDEX('HMM Locations'!$B:$B,MATCH(F228,'HMM Locations'!$A:$A,0))="","(not assigned)",INDEX('HMM Locations'!$B:$B,MATCH(F228,'HMM Locations'!$A:$A,0))),"(not assigned)")</f>
        <v/>
      </c>
      <c r="I228" s="3">
        <f>IFERROR(IF(INDEX('HMM Locations'!$C:$G,MATCH(F228,'HMM Locations'!$A:$A,0),D228)="","(not assigned)",INDEX('HMM Locations'!$C:$G,MATCH(F228,'HMM Locations'!$A:$A,0),D228)),"(not assigned)")</f>
        <v/>
      </c>
      <c r="J228" s="3">
        <f>IF(COUNTIF(G228:I228,"(not assigned)")=0,"Ready","Needs grid entry")</f>
        <v/>
      </c>
      <c r="K228" s="3" t="inlineStr"/>
      <c r="L228" s="3" t="inlineStr">
        <is>
          <t>火车站</t>
        </is>
      </c>
    </row>
    <row r="229" ht="15.75" customHeight="1" s="9">
      <c r="A229" s="7" t="inlineStr">
        <is>
          <t>鸡</t>
        </is>
      </c>
      <c r="B229" s="7" t="n">
        <v>2</v>
      </c>
      <c r="C229" s="3" t="inlineStr">
        <is>
          <t>jī</t>
        </is>
      </c>
      <c r="D229" s="3" t="n">
        <v>1</v>
      </c>
      <c r="E229" s="3" t="inlineStr">
        <is>
          <t>J</t>
        </is>
      </c>
      <c r="F229" s="3" t="inlineStr">
        <is>
          <t>I</t>
        </is>
      </c>
      <c r="G229" s="3">
        <f>IFERROR(IF(INDEX('HMM Actors'!$B:$B,MATCH(E229,'HMM Actors'!$A:$A,0))="","(not assigned)",INDEX('HMM Actors'!$B:$B,MATCH(E229,'HMM Actors'!$A:$A,0))),"(not assigned)")</f>
        <v/>
      </c>
      <c r="H229" s="3">
        <f>IFERROR(IF(INDEX('HMM Locations'!$B:$B,MATCH(F229,'HMM Locations'!$A:$A,0))="","(not assigned)",INDEX('HMM Locations'!$B:$B,MATCH(F229,'HMM Locations'!$A:$A,0))),"(not assigned)")</f>
        <v/>
      </c>
      <c r="I229" s="3">
        <f>IFERROR(IF(INDEX('HMM Locations'!$C:$G,MATCH(F229,'HMM Locations'!$A:$A,0),D229)="","(not assigned)",INDEX('HMM Locations'!$C:$G,MATCH(F229,'HMM Locations'!$A:$A,0),D229)),"(not assigned)")</f>
        <v/>
      </c>
      <c r="J229" s="3">
        <f>IF(COUNTIF(G229:I229,"(not assigned)")=0,"Ready","Needs grid entry")</f>
        <v/>
      </c>
      <c r="K229" s="3" t="inlineStr"/>
      <c r="L229" s="3" t="inlineStr">
        <is>
          <t>鸡蛋</t>
        </is>
      </c>
    </row>
    <row r="230" ht="15.75" customHeight="1" s="9">
      <c r="A230" s="7" t="inlineStr">
        <is>
          <t>间</t>
        </is>
      </c>
      <c r="B230" s="7" t="n">
        <v>2</v>
      </c>
      <c r="C230" s="3" t="inlineStr">
        <is>
          <t>jiān</t>
        </is>
      </c>
      <c r="D230" s="3" t="n">
        <v>1</v>
      </c>
      <c r="E230" s="3" t="inlineStr">
        <is>
          <t>J</t>
        </is>
      </c>
      <c r="F230" s="3" t="inlineStr">
        <is>
          <t>IAN</t>
        </is>
      </c>
      <c r="G230" s="3">
        <f>IFERROR(IF(INDEX('HMM Actors'!$B:$B,MATCH(E230,'HMM Actors'!$A:$A,0))="","(not assigned)",INDEX('HMM Actors'!$B:$B,MATCH(E230,'HMM Actors'!$A:$A,0))),"(not assigned)")</f>
        <v/>
      </c>
      <c r="H230" s="3">
        <f>IFERROR(IF(INDEX('HMM Locations'!$B:$B,MATCH(F230,'HMM Locations'!$A:$A,0))="","(not assigned)",INDEX('HMM Locations'!$B:$B,MATCH(F230,'HMM Locations'!$A:$A,0))),"(not assigned)")</f>
        <v/>
      </c>
      <c r="I230" s="3">
        <f>IFERROR(IF(INDEX('HMM Locations'!$C:$G,MATCH(F230,'HMM Locations'!$A:$A,0),D230)="","(not assigned)",INDEX('HMM Locations'!$C:$G,MATCH(F230,'HMM Locations'!$A:$A,0),D230)),"(not assigned)")</f>
        <v/>
      </c>
      <c r="J230" s="3">
        <f>IF(COUNTIF(G230:I230,"(not assigned)")=0,"Ready","Needs grid entry")</f>
        <v/>
      </c>
      <c r="K230" s="3" t="inlineStr"/>
      <c r="L230" s="3" t="inlineStr">
        <is>
          <t>房间、时间、洗手间、中间</t>
        </is>
      </c>
    </row>
    <row r="231" ht="15.75" customHeight="1" s="9">
      <c r="A231" s="7" t="inlineStr">
        <is>
          <t>件</t>
        </is>
      </c>
      <c r="B231" s="7" t="n">
        <v>2</v>
      </c>
      <c r="C231" s="3" t="inlineStr">
        <is>
          <t>jiàn</t>
        </is>
      </c>
      <c r="D231" s="3" t="n">
        <v>4</v>
      </c>
      <c r="E231" s="3" t="inlineStr">
        <is>
          <t>J</t>
        </is>
      </c>
      <c r="F231" s="3" t="inlineStr">
        <is>
          <t>IAN</t>
        </is>
      </c>
      <c r="G231" s="3">
        <f>IFERROR(IF(INDEX('HMM Actors'!$B:$B,MATCH(E231,'HMM Actors'!$A:$A,0))="","(not assigned)",INDEX('HMM Actors'!$B:$B,MATCH(E231,'HMM Actors'!$A:$A,0))),"(not assigned)")</f>
        <v/>
      </c>
      <c r="H231" s="3">
        <f>IFERROR(IF(INDEX('HMM Locations'!$B:$B,MATCH(F231,'HMM Locations'!$A:$A,0))="","(not assigned)",INDEX('HMM Locations'!$B:$B,MATCH(F231,'HMM Locations'!$A:$A,0))),"(not assigned)")</f>
        <v/>
      </c>
      <c r="I231" s="3">
        <f>IFERROR(IF(INDEX('HMM Locations'!$C:$G,MATCH(F231,'HMM Locations'!$A:$A,0),D231)="","(not assigned)",INDEX('HMM Locations'!$C:$G,MATCH(F231,'HMM Locations'!$A:$A,0),D231)),"(not assigned)")</f>
        <v/>
      </c>
      <c r="J231" s="3">
        <f>IF(COUNTIF(G231:I231,"(not assigned)")=0,"Ready","Needs grid entry")</f>
        <v/>
      </c>
      <c r="K231" s="3" t="inlineStr"/>
      <c r="L231" s="3" t="inlineStr">
        <is>
          <t>件、电子邮件</t>
        </is>
      </c>
    </row>
    <row r="232" ht="15.75" customHeight="1" s="9">
      <c r="A232" s="7" t="inlineStr">
        <is>
          <t>教</t>
        </is>
      </c>
      <c r="B232" s="7" t="n">
        <v>2</v>
      </c>
      <c r="C232" s="3" t="inlineStr">
        <is>
          <t>jiào</t>
        </is>
      </c>
      <c r="D232" s="3" t="n">
        <v>4</v>
      </c>
      <c r="E232" s="3" t="inlineStr">
        <is>
          <t>J</t>
        </is>
      </c>
      <c r="F232" s="3" t="inlineStr">
        <is>
          <t>IAO</t>
        </is>
      </c>
      <c r="G232" s="3">
        <f>IFERROR(IF(INDEX('HMM Actors'!$B:$B,MATCH(E232,'HMM Actors'!$A:$A,0))="","(not assigned)",INDEX('HMM Actors'!$B:$B,MATCH(E232,'HMM Actors'!$A:$A,0))),"(not assigned)")</f>
        <v/>
      </c>
      <c r="H232" s="3">
        <f>IFERROR(IF(INDEX('HMM Locations'!$B:$B,MATCH(F232,'HMM Locations'!$A:$A,0))="","(not assigned)",INDEX('HMM Locations'!$B:$B,MATCH(F232,'HMM Locations'!$A:$A,0))),"(not assigned)")</f>
        <v/>
      </c>
      <c r="I232" s="3">
        <f>IFERROR(IF(INDEX('HMM Locations'!$C:$G,MATCH(F232,'HMM Locations'!$A:$A,0),D232)="","(not assigned)",INDEX('HMM Locations'!$C:$G,MATCH(F232,'HMM Locations'!$A:$A,0),D232)),"(not assigned)")</f>
        <v/>
      </c>
      <c r="J232" s="3">
        <f>IF(COUNTIF(G232:I232,"(not assigned)")=0,"Ready","Needs grid entry")</f>
        <v/>
      </c>
      <c r="K232" s="3" t="inlineStr"/>
      <c r="L232" s="3" t="inlineStr">
        <is>
          <t>教室、教</t>
        </is>
      </c>
    </row>
    <row r="233" ht="15.75" customHeight="1" s="9">
      <c r="A233" s="7" t="inlineStr">
        <is>
          <t>介</t>
        </is>
      </c>
      <c r="B233" s="7" t="n">
        <v>2</v>
      </c>
      <c r="C233" s="3" t="inlineStr">
        <is>
          <t>jiè</t>
        </is>
      </c>
      <c r="D233" s="3" t="n">
        <v>4</v>
      </c>
      <c r="E233" s="3" t="inlineStr">
        <is>
          <t>J</t>
        </is>
      </c>
      <c r="F233" s="3" t="inlineStr">
        <is>
          <t>IE</t>
        </is>
      </c>
      <c r="G233" s="3">
        <f>IFERROR(IF(INDEX('HMM Actors'!$B:$B,MATCH(E233,'HMM Actors'!$A:$A,0))="","(not assigned)",INDEX('HMM Actors'!$B:$B,MATCH(E233,'HMM Actors'!$A:$A,0))),"(not assigned)")</f>
        <v/>
      </c>
      <c r="H233" s="3">
        <f>IFERROR(IF(INDEX('HMM Locations'!$B:$B,MATCH(F233,'HMM Locations'!$A:$A,0))="","(not assigned)",INDEX('HMM Locations'!$B:$B,MATCH(F233,'HMM Locations'!$A:$A,0))),"(not assigned)")</f>
        <v/>
      </c>
      <c r="I233" s="3">
        <f>IFERROR(IF(INDEX('HMM Locations'!$C:$G,MATCH(F233,'HMM Locations'!$A:$A,0),D233)="","(not assigned)",INDEX('HMM Locations'!$C:$G,MATCH(F233,'HMM Locations'!$A:$A,0),D233)),"(not assigned)")</f>
        <v/>
      </c>
      <c r="J233" s="3">
        <f>IF(COUNTIF(G233:I233,"(not assigned)")=0,"Ready","Needs grid entry")</f>
        <v/>
      </c>
      <c r="K233" s="3" t="inlineStr"/>
      <c r="L233" s="3" t="inlineStr">
        <is>
          <t>介绍</t>
        </is>
      </c>
    </row>
    <row r="234" ht="15.75" customHeight="1" s="9">
      <c r="A234" s="7" t="inlineStr">
        <is>
          <t>近</t>
        </is>
      </c>
      <c r="B234" s="7" t="n">
        <v>2</v>
      </c>
      <c r="C234" s="3" t="inlineStr">
        <is>
          <t>jìn</t>
        </is>
      </c>
      <c r="D234" s="3" t="n">
        <v>4</v>
      </c>
      <c r="E234" s="3" t="inlineStr">
        <is>
          <t>J</t>
        </is>
      </c>
      <c r="F234" s="3" t="inlineStr">
        <is>
          <t>IN</t>
        </is>
      </c>
      <c r="G234" s="3">
        <f>IFERROR(IF(INDEX('HMM Actors'!$B:$B,MATCH(E234,'HMM Actors'!$A:$A,0))="","(not assigned)",INDEX('HMM Actors'!$B:$B,MATCH(E234,'HMM Actors'!$A:$A,0))),"(not assigned)")</f>
        <v/>
      </c>
      <c r="H234" s="3">
        <f>IFERROR(IF(INDEX('HMM Locations'!$B:$B,MATCH(F234,'HMM Locations'!$A:$A,0))="","(not assigned)",INDEX('HMM Locations'!$B:$B,MATCH(F234,'HMM Locations'!$A:$A,0))),"(not assigned)")</f>
        <v/>
      </c>
      <c r="I234" s="3">
        <f>IFERROR(IF(INDEX('HMM Locations'!$C:$G,MATCH(F234,'HMM Locations'!$A:$A,0),D234)="","(not assigned)",INDEX('HMM Locations'!$C:$G,MATCH(F234,'HMM Locations'!$A:$A,0),D234)),"(not assigned)")</f>
        <v/>
      </c>
      <c r="J234" s="3">
        <f>IF(COUNTIF(G234:I234,"(not assigned)")=0,"Ready","Needs grid entry")</f>
        <v/>
      </c>
      <c r="K234" s="3" t="inlineStr"/>
      <c r="L234" s="3" t="inlineStr">
        <is>
          <t>近、附近、最近</t>
        </is>
      </c>
    </row>
    <row r="235" ht="15.75" customHeight="1" s="9">
      <c r="A235" s="7" t="inlineStr">
        <is>
          <t>进</t>
        </is>
      </c>
      <c r="B235" s="7" t="n">
        <v>2</v>
      </c>
      <c r="C235" s="3" t="inlineStr">
        <is>
          <t>jìn</t>
        </is>
      </c>
      <c r="D235" s="3" t="n">
        <v>4</v>
      </c>
      <c r="E235" s="3" t="inlineStr">
        <is>
          <t>J</t>
        </is>
      </c>
      <c r="F235" s="3" t="inlineStr">
        <is>
          <t>IN</t>
        </is>
      </c>
      <c r="G235" s="3">
        <f>IFERROR(IF(INDEX('HMM Actors'!$B:$B,MATCH(E235,'HMM Actors'!$A:$A,0))="","(not assigned)",INDEX('HMM Actors'!$B:$B,MATCH(E235,'HMM Actors'!$A:$A,0))),"(not assigned)")</f>
        <v/>
      </c>
      <c r="H235" s="3">
        <f>IFERROR(IF(INDEX('HMM Locations'!$B:$B,MATCH(F235,'HMM Locations'!$A:$A,0))="","(not assigned)",INDEX('HMM Locations'!$B:$B,MATCH(F235,'HMM Locations'!$A:$A,0))),"(not assigned)")</f>
        <v/>
      </c>
      <c r="I235" s="3">
        <f>IFERROR(IF(INDEX('HMM Locations'!$C:$G,MATCH(F235,'HMM Locations'!$A:$A,0),D235)="","(not assigned)",INDEX('HMM Locations'!$C:$G,MATCH(F235,'HMM Locations'!$A:$A,0),D235)),"(not assigned)")</f>
        <v/>
      </c>
      <c r="J235" s="3">
        <f>IF(COUNTIF(G235:I235,"(not assigned)")=0,"Ready","Needs grid entry")</f>
        <v/>
      </c>
      <c r="K235" s="3" t="inlineStr"/>
      <c r="L235" s="3" t="inlineStr">
        <is>
          <t>进</t>
        </is>
      </c>
    </row>
    <row r="236" ht="15.75" customHeight="1" s="9">
      <c r="A236" s="7" t="inlineStr">
        <is>
          <t>经</t>
        </is>
      </c>
      <c r="B236" s="7" t="n">
        <v>2</v>
      </c>
      <c r="C236" s="3" t="inlineStr">
        <is>
          <t>jīng</t>
        </is>
      </c>
      <c r="D236" s="3" t="n">
        <v>1</v>
      </c>
      <c r="E236" s="3" t="inlineStr">
        <is>
          <t>J</t>
        </is>
      </c>
      <c r="F236" s="3" t="inlineStr">
        <is>
          <t>ING</t>
        </is>
      </c>
      <c r="G236" s="3">
        <f>IFERROR(IF(INDEX('HMM Actors'!$B:$B,MATCH(E236,'HMM Actors'!$A:$A,0))="","(not assigned)",INDEX('HMM Actors'!$B:$B,MATCH(E236,'HMM Actors'!$A:$A,0))),"(not assigned)")</f>
        <v/>
      </c>
      <c r="H236" s="3">
        <f>IFERROR(IF(INDEX('HMM Locations'!$B:$B,MATCH(F236,'HMM Locations'!$A:$A,0))="","(not assigned)",INDEX('HMM Locations'!$B:$B,MATCH(F236,'HMM Locations'!$A:$A,0))),"(not assigned)")</f>
        <v/>
      </c>
      <c r="I236" s="3">
        <f>IFERROR(IF(INDEX('HMM Locations'!$C:$G,MATCH(F236,'HMM Locations'!$A:$A,0),D236)="","(not assigned)",INDEX('HMM Locations'!$C:$G,MATCH(F236,'HMM Locations'!$A:$A,0),D236)),"(not assigned)")</f>
        <v/>
      </c>
      <c r="J236" s="3">
        <f>IF(COUNTIF(G236:I236,"(not assigned)")=0,"Ready","Needs grid entry")</f>
        <v/>
      </c>
      <c r="K236" s="3" t="inlineStr"/>
      <c r="L236" s="3" t="inlineStr">
        <is>
          <t>已经、经常、经过、经理</t>
        </is>
      </c>
    </row>
    <row r="237" ht="15.75" customHeight="1" s="9">
      <c r="A237" s="7" t="inlineStr">
        <is>
          <t>睛</t>
        </is>
      </c>
      <c r="B237" s="7" t="n">
        <v>2</v>
      </c>
      <c r="C237" s="3" t="inlineStr">
        <is>
          <t>jīng</t>
        </is>
      </c>
      <c r="D237" s="3" t="n">
        <v>1</v>
      </c>
      <c r="E237" s="3" t="inlineStr">
        <is>
          <t>J</t>
        </is>
      </c>
      <c r="F237" s="3" t="inlineStr">
        <is>
          <t>ING</t>
        </is>
      </c>
      <c r="G237" s="3">
        <f>IFERROR(IF(INDEX('HMM Actors'!$B:$B,MATCH(E237,'HMM Actors'!$A:$A,0))="","(not assigned)",INDEX('HMM Actors'!$B:$B,MATCH(E237,'HMM Actors'!$A:$A,0))),"(not assigned)")</f>
        <v/>
      </c>
      <c r="H237" s="3">
        <f>IFERROR(IF(INDEX('HMM Locations'!$B:$B,MATCH(F237,'HMM Locations'!$A:$A,0))="","(not assigned)",INDEX('HMM Locations'!$B:$B,MATCH(F237,'HMM Locations'!$A:$A,0))),"(not assigned)")</f>
        <v/>
      </c>
      <c r="I237" s="3">
        <f>IFERROR(IF(INDEX('HMM Locations'!$C:$G,MATCH(F237,'HMM Locations'!$A:$A,0),D237)="","(not assigned)",INDEX('HMM Locations'!$C:$G,MATCH(F237,'HMM Locations'!$A:$A,0),D237)),"(not assigned)")</f>
        <v/>
      </c>
      <c r="J237" s="3">
        <f>IF(COUNTIF(G237:I237,"(not assigned)")=0,"Ready","Needs grid entry")</f>
        <v/>
      </c>
      <c r="K237" s="3" t="inlineStr"/>
      <c r="L237" s="3" t="inlineStr">
        <is>
          <t>眼睛</t>
        </is>
      </c>
    </row>
    <row r="238" ht="15.75" customHeight="1" s="9">
      <c r="A238" s="7" t="inlineStr">
        <is>
          <t>就</t>
        </is>
      </c>
      <c r="B238" s="7" t="n">
        <v>2</v>
      </c>
      <c r="C238" s="3" t="inlineStr">
        <is>
          <t>jiù</t>
        </is>
      </c>
      <c r="D238" s="3" t="n">
        <v>4</v>
      </c>
      <c r="E238" s="3" t="inlineStr">
        <is>
          <t>J</t>
        </is>
      </c>
      <c r="F238" s="3" t="inlineStr">
        <is>
          <t>IU</t>
        </is>
      </c>
      <c r="G238" s="3">
        <f>IFERROR(IF(INDEX('HMM Actors'!$B:$B,MATCH(E238,'HMM Actors'!$A:$A,0))="","(not assigned)",INDEX('HMM Actors'!$B:$B,MATCH(E238,'HMM Actors'!$A:$A,0))),"(not assigned)")</f>
        <v/>
      </c>
      <c r="H238" s="3">
        <f>IFERROR(IF(INDEX('HMM Locations'!$B:$B,MATCH(F238,'HMM Locations'!$A:$A,0))="","(not assigned)",INDEX('HMM Locations'!$B:$B,MATCH(F238,'HMM Locations'!$A:$A,0))),"(not assigned)")</f>
        <v/>
      </c>
      <c r="I238" s="3">
        <f>IFERROR(IF(INDEX('HMM Locations'!$C:$G,MATCH(F238,'HMM Locations'!$A:$A,0),D238)="","(not assigned)",INDEX('HMM Locations'!$C:$G,MATCH(F238,'HMM Locations'!$A:$A,0),D238)),"(not assigned)")</f>
        <v/>
      </c>
      <c r="J238" s="3">
        <f>IF(COUNTIF(G238:I238,"(not assigned)")=0,"Ready","Needs grid entry")</f>
        <v/>
      </c>
      <c r="K238" s="3" t="inlineStr"/>
      <c r="L238" s="3" t="inlineStr">
        <is>
          <t>就</t>
        </is>
      </c>
    </row>
    <row r="239" ht="15.75" customHeight="1" s="9">
      <c r="A239" s="7" t="inlineStr">
        <is>
          <t>咖</t>
        </is>
      </c>
      <c r="B239" s="7" t="n">
        <v>2</v>
      </c>
      <c r="C239" s="3" t="inlineStr">
        <is>
          <t>kā</t>
        </is>
      </c>
      <c r="D239" s="3" t="n">
        <v>1</v>
      </c>
      <c r="E239" s="3" t="inlineStr">
        <is>
          <t>K</t>
        </is>
      </c>
      <c r="F239" s="3" t="inlineStr">
        <is>
          <t>A</t>
        </is>
      </c>
      <c r="G239" s="3">
        <f>IFERROR(IF(INDEX('HMM Actors'!$B:$B,MATCH(E239,'HMM Actors'!$A:$A,0))="","(not assigned)",INDEX('HMM Actors'!$B:$B,MATCH(E239,'HMM Actors'!$A:$A,0))),"(not assigned)")</f>
        <v/>
      </c>
      <c r="H239" s="3">
        <f>IFERROR(IF(INDEX('HMM Locations'!$B:$B,MATCH(F239,'HMM Locations'!$A:$A,0))="","(not assigned)",INDEX('HMM Locations'!$B:$B,MATCH(F239,'HMM Locations'!$A:$A,0))),"(not assigned)")</f>
        <v/>
      </c>
      <c r="I239" s="3">
        <f>IFERROR(IF(INDEX('HMM Locations'!$C:$G,MATCH(F239,'HMM Locations'!$A:$A,0),D239)="","(not assigned)",INDEX('HMM Locations'!$C:$G,MATCH(F239,'HMM Locations'!$A:$A,0),D239)),"(not assigned)")</f>
        <v/>
      </c>
      <c r="J239" s="3">
        <f>IF(COUNTIF(G239:I239,"(not assigned)")=0,"Ready","Needs grid entry")</f>
        <v/>
      </c>
      <c r="K239" s="3" t="inlineStr"/>
      <c r="L239" s="3" t="inlineStr">
        <is>
          <t>咖啡</t>
        </is>
      </c>
    </row>
    <row r="240" ht="15.75" customHeight="1" s="9">
      <c r="A240" s="7" t="inlineStr">
        <is>
          <t>考</t>
        </is>
      </c>
      <c r="B240" s="7" t="n">
        <v>2</v>
      </c>
      <c r="C240" s="3" t="inlineStr">
        <is>
          <t>kǎo</t>
        </is>
      </c>
      <c r="D240" s="3" t="n">
        <v>3</v>
      </c>
      <c r="E240" s="3" t="inlineStr">
        <is>
          <t>K</t>
        </is>
      </c>
      <c r="F240" s="3" t="inlineStr">
        <is>
          <t>AO</t>
        </is>
      </c>
      <c r="G240" s="3">
        <f>IFERROR(IF(INDEX('HMM Actors'!$B:$B,MATCH(E240,'HMM Actors'!$A:$A,0))="","(not assigned)",INDEX('HMM Actors'!$B:$B,MATCH(E240,'HMM Actors'!$A:$A,0))),"(not assigned)")</f>
        <v/>
      </c>
      <c r="H240" s="3">
        <f>IFERROR(IF(INDEX('HMM Locations'!$B:$B,MATCH(F240,'HMM Locations'!$A:$A,0))="","(not assigned)",INDEX('HMM Locations'!$B:$B,MATCH(F240,'HMM Locations'!$A:$A,0))),"(not assigned)")</f>
        <v/>
      </c>
      <c r="I240" s="3">
        <f>IFERROR(IF(INDEX('HMM Locations'!$C:$G,MATCH(F240,'HMM Locations'!$A:$A,0),D240)="","(not assigned)",INDEX('HMM Locations'!$C:$G,MATCH(F240,'HMM Locations'!$A:$A,0),D240)),"(not assigned)")</f>
        <v/>
      </c>
      <c r="J240" s="3">
        <f>IF(COUNTIF(G240:I240,"(not assigned)")=0,"Ready","Needs grid entry")</f>
        <v/>
      </c>
      <c r="K240" s="3" t="inlineStr"/>
      <c r="L240" s="3" t="inlineStr">
        <is>
          <t>考试</t>
        </is>
      </c>
    </row>
    <row r="241" ht="15.75" customHeight="1" s="9">
      <c r="A241" s="7" t="inlineStr">
        <is>
          <t>可</t>
        </is>
      </c>
      <c r="B241" s="7" t="n">
        <v>2</v>
      </c>
      <c r="C241" s="3" t="inlineStr">
        <is>
          <t>kě</t>
        </is>
      </c>
      <c r="D241" s="3" t="n">
        <v>3</v>
      </c>
      <c r="E241" s="3" t="inlineStr">
        <is>
          <t>K</t>
        </is>
      </c>
      <c r="F241" s="3" t="inlineStr">
        <is>
          <t>E</t>
        </is>
      </c>
      <c r="G241" s="3">
        <f>IFERROR(IF(INDEX('HMM Actors'!$B:$B,MATCH(E241,'HMM Actors'!$A:$A,0))="","(not assigned)",INDEX('HMM Actors'!$B:$B,MATCH(E241,'HMM Actors'!$A:$A,0))),"(not assigned)")</f>
        <v/>
      </c>
      <c r="H241" s="3">
        <f>IFERROR(IF(INDEX('HMM Locations'!$B:$B,MATCH(F241,'HMM Locations'!$A:$A,0))="","(not assigned)",INDEX('HMM Locations'!$B:$B,MATCH(F241,'HMM Locations'!$A:$A,0))),"(not assigned)")</f>
        <v/>
      </c>
      <c r="I241" s="3">
        <f>IFERROR(IF(INDEX('HMM Locations'!$C:$G,MATCH(F241,'HMM Locations'!$A:$A,0),D241)="","(not assigned)",INDEX('HMM Locations'!$C:$G,MATCH(F241,'HMM Locations'!$A:$A,0),D241)),"(not assigned)")</f>
        <v/>
      </c>
      <c r="J241" s="3">
        <f>IF(COUNTIF(G241:I241,"(not assigned)")=0,"Ready","Needs grid entry")</f>
        <v/>
      </c>
      <c r="K241" s="3" t="inlineStr"/>
      <c r="L241" s="3" t="inlineStr">
        <is>
          <t>可能、可以、可爱</t>
        </is>
      </c>
    </row>
    <row r="242" ht="15.75" customHeight="1" s="9">
      <c r="A242" s="7" t="inlineStr">
        <is>
          <t>课</t>
        </is>
      </c>
      <c r="B242" s="7" t="n">
        <v>2</v>
      </c>
      <c r="C242" s="3" t="inlineStr">
        <is>
          <t>kè</t>
        </is>
      </c>
      <c r="D242" s="3" t="n">
        <v>4</v>
      </c>
      <c r="E242" s="3" t="inlineStr">
        <is>
          <t>K</t>
        </is>
      </c>
      <c r="F242" s="3" t="inlineStr">
        <is>
          <t>E</t>
        </is>
      </c>
      <c r="G242" s="3">
        <f>IFERROR(IF(INDEX('HMM Actors'!$B:$B,MATCH(E242,'HMM Actors'!$A:$A,0))="","(not assigned)",INDEX('HMM Actors'!$B:$B,MATCH(E242,'HMM Actors'!$A:$A,0))),"(not assigned)")</f>
        <v/>
      </c>
      <c r="H242" s="3">
        <f>IFERROR(IF(INDEX('HMM Locations'!$B:$B,MATCH(F242,'HMM Locations'!$A:$A,0))="","(not assigned)",INDEX('HMM Locations'!$B:$B,MATCH(F242,'HMM Locations'!$A:$A,0))),"(not assigned)")</f>
        <v/>
      </c>
      <c r="I242" s="3">
        <f>IFERROR(IF(INDEX('HMM Locations'!$C:$G,MATCH(F242,'HMM Locations'!$A:$A,0),D242)="","(not assigned)",INDEX('HMM Locations'!$C:$G,MATCH(F242,'HMM Locations'!$A:$A,0),D242)),"(not assigned)")</f>
        <v/>
      </c>
      <c r="J242" s="3">
        <f>IF(COUNTIF(G242:I242,"(not assigned)")=0,"Ready","Needs grid entry")</f>
        <v/>
      </c>
      <c r="K242" s="3" t="inlineStr"/>
      <c r="L242" s="3" t="inlineStr">
        <is>
          <t>课</t>
        </is>
      </c>
    </row>
    <row r="243" ht="15.75" customHeight="1" s="9">
      <c r="A243" s="7" t="inlineStr">
        <is>
          <t>快</t>
        </is>
      </c>
      <c r="B243" s="7" t="n">
        <v>2</v>
      </c>
      <c r="C243" s="3" t="inlineStr">
        <is>
          <t>kuài</t>
        </is>
      </c>
      <c r="D243" s="3" t="n">
        <v>4</v>
      </c>
      <c r="E243" s="3" t="inlineStr">
        <is>
          <t>K</t>
        </is>
      </c>
      <c r="F243" s="3" t="inlineStr">
        <is>
          <t>UAI</t>
        </is>
      </c>
      <c r="G243" s="3">
        <f>IFERROR(IF(INDEX('HMM Actors'!$B:$B,MATCH(E243,'HMM Actors'!$A:$A,0))="","(not assigned)",INDEX('HMM Actors'!$B:$B,MATCH(E243,'HMM Actors'!$A:$A,0))),"(not assigned)")</f>
        <v/>
      </c>
      <c r="H243" s="3">
        <f>IFERROR(IF(INDEX('HMM Locations'!$B:$B,MATCH(F243,'HMM Locations'!$A:$A,0))="","(not assigned)",INDEX('HMM Locations'!$B:$B,MATCH(F243,'HMM Locations'!$A:$A,0))),"(not assigned)")</f>
        <v/>
      </c>
      <c r="I243" s="3">
        <f>IFERROR(IF(INDEX('HMM Locations'!$C:$G,MATCH(F243,'HMM Locations'!$A:$A,0),D243)="","(not assigned)",INDEX('HMM Locations'!$C:$G,MATCH(F243,'HMM Locations'!$A:$A,0),D243)),"(not assigned)")</f>
        <v/>
      </c>
      <c r="J243" s="3">
        <f>IF(COUNTIF(G243:I243,"(not assigned)")=0,"Ready","Needs grid entry")</f>
        <v/>
      </c>
      <c r="K243" s="3" t="inlineStr"/>
      <c r="L243" s="3" t="inlineStr">
        <is>
          <t>快、快乐</t>
        </is>
      </c>
    </row>
    <row r="244" ht="15.75" customHeight="1" s="9">
      <c r="A244" s="7" t="inlineStr">
        <is>
          <t>篮</t>
        </is>
      </c>
      <c r="B244" s="7" t="n">
        <v>2</v>
      </c>
      <c r="C244" s="3" t="inlineStr">
        <is>
          <t>lán</t>
        </is>
      </c>
      <c r="D244" s="3" t="n">
        <v>2</v>
      </c>
      <c r="E244" s="3" t="inlineStr">
        <is>
          <t>L</t>
        </is>
      </c>
      <c r="F244" s="3" t="inlineStr">
        <is>
          <t>AN</t>
        </is>
      </c>
      <c r="G244" s="3">
        <f>IFERROR(IF(INDEX('HMM Actors'!$B:$B,MATCH(E244,'HMM Actors'!$A:$A,0))="","(not assigned)",INDEX('HMM Actors'!$B:$B,MATCH(E244,'HMM Actors'!$A:$A,0))),"(not assigned)")</f>
        <v/>
      </c>
      <c r="H244" s="3">
        <f>IFERROR(IF(INDEX('HMM Locations'!$B:$B,MATCH(F244,'HMM Locations'!$A:$A,0))="","(not assigned)",INDEX('HMM Locations'!$B:$B,MATCH(F244,'HMM Locations'!$A:$A,0))),"(not assigned)")</f>
        <v/>
      </c>
      <c r="I244" s="3">
        <f>IFERROR(IF(INDEX('HMM Locations'!$C:$G,MATCH(F244,'HMM Locations'!$A:$A,0),D244)="","(not assigned)",INDEX('HMM Locations'!$C:$G,MATCH(F244,'HMM Locations'!$A:$A,0),D244)),"(not assigned)")</f>
        <v/>
      </c>
      <c r="J244" s="3">
        <f>IF(COUNTIF(G244:I244,"(not assigned)")=0,"Ready","Needs grid entry")</f>
        <v/>
      </c>
      <c r="K244" s="3" t="inlineStr"/>
      <c r="L244" s="3" t="inlineStr">
        <is>
          <t>打篮球</t>
        </is>
      </c>
    </row>
    <row r="245" ht="15.75" customHeight="1" s="9">
      <c r="A245" s="7" t="inlineStr">
        <is>
          <t>乐</t>
        </is>
      </c>
      <c r="B245" s="7" t="n">
        <v>2</v>
      </c>
      <c r="C245" s="3" t="inlineStr">
        <is>
          <t>lè</t>
        </is>
      </c>
      <c r="D245" s="3" t="n">
        <v>4</v>
      </c>
      <c r="E245" s="3" t="inlineStr">
        <is>
          <t>L</t>
        </is>
      </c>
      <c r="F245" s="3" t="inlineStr">
        <is>
          <t>E</t>
        </is>
      </c>
      <c r="G245" s="3">
        <f>IFERROR(IF(INDEX('HMM Actors'!$B:$B,MATCH(E245,'HMM Actors'!$A:$A,0))="","(not assigned)",INDEX('HMM Actors'!$B:$B,MATCH(E245,'HMM Actors'!$A:$A,0))),"(not assigned)")</f>
        <v/>
      </c>
      <c r="H245" s="3">
        <f>IFERROR(IF(INDEX('HMM Locations'!$B:$B,MATCH(F245,'HMM Locations'!$A:$A,0))="","(not assigned)",INDEX('HMM Locations'!$B:$B,MATCH(F245,'HMM Locations'!$A:$A,0))),"(not assigned)")</f>
        <v/>
      </c>
      <c r="I245" s="3">
        <f>IFERROR(IF(INDEX('HMM Locations'!$C:$G,MATCH(F245,'HMM Locations'!$A:$A,0),D245)="","(not assigned)",INDEX('HMM Locations'!$C:$G,MATCH(F245,'HMM Locations'!$A:$A,0),D245)),"(not assigned)")</f>
        <v/>
      </c>
      <c r="J245" s="3">
        <f>IF(COUNTIF(G245:I245,"(not assigned)")=0,"Ready","Needs grid entry")</f>
        <v/>
      </c>
      <c r="K245" s="3" t="inlineStr">
        <is>
          <t>yuè</t>
        </is>
      </c>
      <c r="L245" s="3" t="inlineStr">
        <is>
          <t>快乐、音乐</t>
        </is>
      </c>
    </row>
    <row r="246" ht="15.75" customHeight="1" s="9">
      <c r="A246" s="7" t="inlineStr">
        <is>
          <t>累</t>
        </is>
      </c>
      <c r="B246" s="7" t="n">
        <v>2</v>
      </c>
      <c r="C246" s="3" t="inlineStr">
        <is>
          <t>lèi</t>
        </is>
      </c>
      <c r="D246" s="3" t="n">
        <v>4</v>
      </c>
      <c r="E246" s="3" t="inlineStr">
        <is>
          <t>L</t>
        </is>
      </c>
      <c r="F246" s="3" t="inlineStr">
        <is>
          <t>EI</t>
        </is>
      </c>
      <c r="G246" s="3">
        <f>IFERROR(IF(INDEX('HMM Actors'!$B:$B,MATCH(E246,'HMM Actors'!$A:$A,0))="","(not assigned)",INDEX('HMM Actors'!$B:$B,MATCH(E246,'HMM Actors'!$A:$A,0))),"(not assigned)")</f>
        <v/>
      </c>
      <c r="H246" s="3">
        <f>IFERROR(IF(INDEX('HMM Locations'!$B:$B,MATCH(F246,'HMM Locations'!$A:$A,0))="","(not assigned)",INDEX('HMM Locations'!$B:$B,MATCH(F246,'HMM Locations'!$A:$A,0))),"(not assigned)")</f>
        <v/>
      </c>
      <c r="I246" s="3">
        <f>IFERROR(IF(INDEX('HMM Locations'!$C:$G,MATCH(F246,'HMM Locations'!$A:$A,0),D246)="","(not assigned)",INDEX('HMM Locations'!$C:$G,MATCH(F246,'HMM Locations'!$A:$A,0),D246)),"(not assigned)")</f>
        <v/>
      </c>
      <c r="J246" s="3">
        <f>IF(COUNTIF(G246:I246,"(not assigned)")=0,"Ready","Needs grid entry")</f>
        <v/>
      </c>
      <c r="K246" s="3" t="inlineStr"/>
      <c r="L246" s="3" t="inlineStr">
        <is>
          <t>累</t>
        </is>
      </c>
    </row>
    <row r="247" ht="15.75" customHeight="1" s="9">
      <c r="A247" s="7" t="inlineStr">
        <is>
          <t>离</t>
        </is>
      </c>
      <c r="B247" s="7" t="n">
        <v>2</v>
      </c>
      <c r="C247" s="3" t="inlineStr">
        <is>
          <t>lí</t>
        </is>
      </c>
      <c r="D247" s="3" t="n">
        <v>2</v>
      </c>
      <c r="E247" s="3" t="inlineStr">
        <is>
          <t>L</t>
        </is>
      </c>
      <c r="F247" s="3" t="inlineStr">
        <is>
          <t>I</t>
        </is>
      </c>
      <c r="G247" s="3">
        <f>IFERROR(IF(INDEX('HMM Actors'!$B:$B,MATCH(E247,'HMM Actors'!$A:$A,0))="","(not assigned)",INDEX('HMM Actors'!$B:$B,MATCH(E247,'HMM Actors'!$A:$A,0))),"(not assigned)")</f>
        <v/>
      </c>
      <c r="H247" s="3">
        <f>IFERROR(IF(INDEX('HMM Locations'!$B:$B,MATCH(F247,'HMM Locations'!$A:$A,0))="","(not assigned)",INDEX('HMM Locations'!$B:$B,MATCH(F247,'HMM Locations'!$A:$A,0))),"(not assigned)")</f>
        <v/>
      </c>
      <c r="I247" s="3">
        <f>IFERROR(IF(INDEX('HMM Locations'!$C:$G,MATCH(F247,'HMM Locations'!$A:$A,0),D247)="","(not assigned)",INDEX('HMM Locations'!$C:$G,MATCH(F247,'HMM Locations'!$A:$A,0),D247)),"(not assigned)")</f>
        <v/>
      </c>
      <c r="J247" s="3">
        <f>IF(COUNTIF(G247:I247,"(not assigned)")=0,"Ready","Needs grid entry")</f>
        <v/>
      </c>
      <c r="K247" s="3" t="inlineStr"/>
      <c r="L247" s="3" t="inlineStr">
        <is>
          <t>离、离开</t>
        </is>
      </c>
    </row>
    <row r="248" ht="15.75" customHeight="1" s="9">
      <c r="A248" s="7" t="inlineStr">
        <is>
          <t>两</t>
        </is>
      </c>
      <c r="B248" s="7" t="n">
        <v>2</v>
      </c>
      <c r="C248" s="3" t="inlineStr">
        <is>
          <t>liǎng</t>
        </is>
      </c>
      <c r="D248" s="3" t="n">
        <v>3</v>
      </c>
      <c r="E248" s="3" t="inlineStr">
        <is>
          <t>L</t>
        </is>
      </c>
      <c r="F248" s="3" t="inlineStr">
        <is>
          <t>IANG</t>
        </is>
      </c>
      <c r="G248" s="3">
        <f>IFERROR(IF(INDEX('HMM Actors'!$B:$B,MATCH(E248,'HMM Actors'!$A:$A,0))="","(not assigned)",INDEX('HMM Actors'!$B:$B,MATCH(E248,'HMM Actors'!$A:$A,0))),"(not assigned)")</f>
        <v/>
      </c>
      <c r="H248" s="3">
        <f>IFERROR(IF(INDEX('HMM Locations'!$B:$B,MATCH(F248,'HMM Locations'!$A:$A,0))="","(not assigned)",INDEX('HMM Locations'!$B:$B,MATCH(F248,'HMM Locations'!$A:$A,0))),"(not assigned)")</f>
        <v/>
      </c>
      <c r="I248" s="3">
        <f>IFERROR(IF(INDEX('HMM Locations'!$C:$G,MATCH(F248,'HMM Locations'!$A:$A,0),D248)="","(not assigned)",INDEX('HMM Locations'!$C:$G,MATCH(F248,'HMM Locations'!$A:$A,0),D248)),"(not assigned)")</f>
        <v/>
      </c>
      <c r="J248" s="3">
        <f>IF(COUNTIF(G248:I248,"(not assigned)")=0,"Ready","Needs grid entry")</f>
        <v/>
      </c>
      <c r="K248" s="3" t="inlineStr"/>
      <c r="L248" s="3" t="inlineStr">
        <is>
          <t>两</t>
        </is>
      </c>
    </row>
    <row r="249" ht="15.75" customHeight="1" s="9">
      <c r="A249" s="7" t="inlineStr">
        <is>
          <t>零</t>
        </is>
      </c>
      <c r="B249" s="7" t="n">
        <v>2</v>
      </c>
      <c r="C249" s="3" t="inlineStr">
        <is>
          <t>líng</t>
        </is>
      </c>
      <c r="D249" s="3" t="n">
        <v>2</v>
      </c>
      <c r="E249" s="3" t="inlineStr">
        <is>
          <t>L</t>
        </is>
      </c>
      <c r="F249" s="3" t="inlineStr">
        <is>
          <t>ING</t>
        </is>
      </c>
      <c r="G249" s="3">
        <f>IFERROR(IF(INDEX('HMM Actors'!$B:$B,MATCH(E249,'HMM Actors'!$A:$A,0))="","(not assigned)",INDEX('HMM Actors'!$B:$B,MATCH(E249,'HMM Actors'!$A:$A,0))),"(not assigned)")</f>
        <v/>
      </c>
      <c r="H249" s="3">
        <f>IFERROR(IF(INDEX('HMM Locations'!$B:$B,MATCH(F249,'HMM Locations'!$A:$A,0))="","(not assigned)",INDEX('HMM Locations'!$B:$B,MATCH(F249,'HMM Locations'!$A:$A,0))),"(not assigned)")</f>
        <v/>
      </c>
      <c r="I249" s="3">
        <f>IFERROR(IF(INDEX('HMM Locations'!$C:$G,MATCH(F249,'HMM Locations'!$A:$A,0),D249)="","(not assigned)",INDEX('HMM Locations'!$C:$G,MATCH(F249,'HMM Locations'!$A:$A,0),D249)),"(not assigned)")</f>
        <v/>
      </c>
      <c r="J249" s="3">
        <f>IF(COUNTIF(G249:I249,"(not assigned)")=0,"Ready","Needs grid entry")</f>
        <v/>
      </c>
      <c r="K249" s="3" t="inlineStr"/>
      <c r="L249" s="3" t="inlineStr">
        <is>
          <t>零</t>
        </is>
      </c>
    </row>
    <row r="250" ht="15.75" customHeight="1" s="9">
      <c r="A250" s="7" t="inlineStr">
        <is>
          <t>路</t>
        </is>
      </c>
      <c r="B250" s="7" t="n">
        <v>2</v>
      </c>
      <c r="C250" s="3" t="inlineStr">
        <is>
          <t>lù</t>
        </is>
      </c>
      <c r="D250" s="3" t="n">
        <v>4</v>
      </c>
      <c r="E250" s="3" t="inlineStr">
        <is>
          <t>L</t>
        </is>
      </c>
      <c r="F250" s="3" t="inlineStr">
        <is>
          <t>U</t>
        </is>
      </c>
      <c r="G250" s="3">
        <f>IFERROR(IF(INDEX('HMM Actors'!$B:$B,MATCH(E250,'HMM Actors'!$A:$A,0))="","(not assigned)",INDEX('HMM Actors'!$B:$B,MATCH(E250,'HMM Actors'!$A:$A,0))),"(not assigned)")</f>
        <v/>
      </c>
      <c r="H250" s="3">
        <f>IFERROR(IF(INDEX('HMM Locations'!$B:$B,MATCH(F250,'HMM Locations'!$A:$A,0))="","(not assigned)",INDEX('HMM Locations'!$B:$B,MATCH(F250,'HMM Locations'!$A:$A,0))),"(not assigned)")</f>
        <v/>
      </c>
      <c r="I250" s="3">
        <f>IFERROR(IF(INDEX('HMM Locations'!$C:$G,MATCH(F250,'HMM Locations'!$A:$A,0),D250)="","(not assigned)",INDEX('HMM Locations'!$C:$G,MATCH(F250,'HMM Locations'!$A:$A,0),D250)),"(not assigned)")</f>
        <v/>
      </c>
      <c r="J250" s="3">
        <f>IF(COUNTIF(G250:I250,"(not assigned)")=0,"Ready","Needs grid entry")</f>
        <v/>
      </c>
      <c r="K250" s="3" t="inlineStr"/>
      <c r="L250" s="3" t="inlineStr">
        <is>
          <t>路</t>
        </is>
      </c>
    </row>
    <row r="251" ht="15.75" customHeight="1" s="9">
      <c r="A251" s="7" t="inlineStr">
        <is>
          <t>旅</t>
        </is>
      </c>
      <c r="B251" s="7" t="n">
        <v>2</v>
      </c>
      <c r="C251" s="3" t="inlineStr">
        <is>
          <t>lǚ</t>
        </is>
      </c>
      <c r="D251" s="3" t="n">
        <v>3</v>
      </c>
      <c r="E251" s="3" t="inlineStr">
        <is>
          <t>L</t>
        </is>
      </c>
      <c r="F251" s="3" t="inlineStr">
        <is>
          <t>Ü</t>
        </is>
      </c>
      <c r="G251" s="3">
        <f>IFERROR(IF(INDEX('HMM Actors'!$B:$B,MATCH(E251,'HMM Actors'!$A:$A,0))="","(not assigned)",INDEX('HMM Actors'!$B:$B,MATCH(E251,'HMM Actors'!$A:$A,0))),"(not assigned)")</f>
        <v/>
      </c>
      <c r="H251" s="3">
        <f>IFERROR(IF(INDEX('HMM Locations'!$B:$B,MATCH(F251,'HMM Locations'!$A:$A,0))="","(not assigned)",INDEX('HMM Locations'!$B:$B,MATCH(F251,'HMM Locations'!$A:$A,0))),"(not assigned)")</f>
        <v/>
      </c>
      <c r="I251" s="3">
        <f>IFERROR(IF(INDEX('HMM Locations'!$C:$G,MATCH(F251,'HMM Locations'!$A:$A,0),D251)="","(not assigned)",INDEX('HMM Locations'!$C:$G,MATCH(F251,'HMM Locations'!$A:$A,0),D251)),"(not assigned)")</f>
        <v/>
      </c>
      <c r="J251" s="3">
        <f>IF(COUNTIF(G251:I251,"(not assigned)")=0,"Ready","Needs grid entry")</f>
        <v/>
      </c>
      <c r="K251" s="3" t="inlineStr"/>
      <c r="L251" s="3" t="inlineStr">
        <is>
          <t>旅游</t>
        </is>
      </c>
    </row>
    <row r="252" ht="15.75" customHeight="1" s="9">
      <c r="A252" s="7" t="inlineStr">
        <is>
          <t>卖</t>
        </is>
      </c>
      <c r="B252" s="7" t="n">
        <v>2</v>
      </c>
      <c r="C252" s="3" t="inlineStr">
        <is>
          <t>mài</t>
        </is>
      </c>
      <c r="D252" s="3" t="n">
        <v>4</v>
      </c>
      <c r="E252" s="3" t="inlineStr">
        <is>
          <t>M</t>
        </is>
      </c>
      <c r="F252" s="3" t="inlineStr">
        <is>
          <t>AI</t>
        </is>
      </c>
      <c r="G252" s="3">
        <f>IFERROR(IF(INDEX('HMM Actors'!$B:$B,MATCH(E252,'HMM Actors'!$A:$A,0))="","(not assigned)",INDEX('HMM Actors'!$B:$B,MATCH(E252,'HMM Actors'!$A:$A,0))),"(not assigned)")</f>
        <v/>
      </c>
      <c r="H252" s="3">
        <f>IFERROR(IF(INDEX('HMM Locations'!$B:$B,MATCH(F252,'HMM Locations'!$A:$A,0))="","(not assigned)",INDEX('HMM Locations'!$B:$B,MATCH(F252,'HMM Locations'!$A:$A,0))),"(not assigned)")</f>
        <v/>
      </c>
      <c r="I252" s="3">
        <f>IFERROR(IF(INDEX('HMM Locations'!$C:$G,MATCH(F252,'HMM Locations'!$A:$A,0),D252)="","(not assigned)",INDEX('HMM Locations'!$C:$G,MATCH(F252,'HMM Locations'!$A:$A,0),D252)),"(not assigned)")</f>
        <v/>
      </c>
      <c r="J252" s="3">
        <f>IF(COUNTIF(G252:I252,"(not assigned)")=0,"Ready","Needs grid entry")</f>
        <v/>
      </c>
      <c r="K252" s="3" t="inlineStr"/>
      <c r="L252" s="3" t="inlineStr">
        <is>
          <t>卖</t>
        </is>
      </c>
    </row>
    <row r="253" ht="15.75" customHeight="1" s="9">
      <c r="A253" s="7" t="inlineStr">
        <is>
          <t>慢</t>
        </is>
      </c>
      <c r="B253" s="7" t="n">
        <v>2</v>
      </c>
      <c r="C253" s="3" t="inlineStr">
        <is>
          <t>màn</t>
        </is>
      </c>
      <c r="D253" s="3" t="n">
        <v>4</v>
      </c>
      <c r="E253" s="3" t="inlineStr">
        <is>
          <t>M</t>
        </is>
      </c>
      <c r="F253" s="3" t="inlineStr">
        <is>
          <t>AN</t>
        </is>
      </c>
      <c r="G253" s="3">
        <f>IFERROR(IF(INDEX('HMM Actors'!$B:$B,MATCH(E253,'HMM Actors'!$A:$A,0))="","(not assigned)",INDEX('HMM Actors'!$B:$B,MATCH(E253,'HMM Actors'!$A:$A,0))),"(not assigned)")</f>
        <v/>
      </c>
      <c r="H253" s="3">
        <f>IFERROR(IF(INDEX('HMM Locations'!$B:$B,MATCH(F253,'HMM Locations'!$A:$A,0))="","(not assigned)",INDEX('HMM Locations'!$B:$B,MATCH(F253,'HMM Locations'!$A:$A,0))),"(not assigned)")</f>
        <v/>
      </c>
      <c r="I253" s="3">
        <f>IFERROR(IF(INDEX('HMM Locations'!$C:$G,MATCH(F253,'HMM Locations'!$A:$A,0),D253)="","(not assigned)",INDEX('HMM Locations'!$C:$G,MATCH(F253,'HMM Locations'!$A:$A,0),D253)),"(not assigned)")</f>
        <v/>
      </c>
      <c r="J253" s="3">
        <f>IF(COUNTIF(G253:I253,"(not assigned)")=0,"Ready","Needs grid entry")</f>
        <v/>
      </c>
      <c r="K253" s="3" t="inlineStr"/>
      <c r="L253" s="3" t="inlineStr">
        <is>
          <t>慢</t>
        </is>
      </c>
    </row>
    <row r="254" ht="15.75" customHeight="1" s="9">
      <c r="A254" s="7" t="inlineStr">
        <is>
          <t>忙</t>
        </is>
      </c>
      <c r="B254" s="7" t="n">
        <v>2</v>
      </c>
      <c r="C254" s="3" t="inlineStr">
        <is>
          <t>máng</t>
        </is>
      </c>
      <c r="D254" s="3" t="n">
        <v>2</v>
      </c>
      <c r="E254" s="3" t="inlineStr">
        <is>
          <t>M</t>
        </is>
      </c>
      <c r="F254" s="3" t="inlineStr">
        <is>
          <t>ANG</t>
        </is>
      </c>
      <c r="G254" s="3">
        <f>IFERROR(IF(INDEX('HMM Actors'!$B:$B,MATCH(E254,'HMM Actors'!$A:$A,0))="","(not assigned)",INDEX('HMM Actors'!$B:$B,MATCH(E254,'HMM Actors'!$A:$A,0))),"(not assigned)")</f>
        <v/>
      </c>
      <c r="H254" s="3">
        <f>IFERROR(IF(INDEX('HMM Locations'!$B:$B,MATCH(F254,'HMM Locations'!$A:$A,0))="","(not assigned)",INDEX('HMM Locations'!$B:$B,MATCH(F254,'HMM Locations'!$A:$A,0))),"(not assigned)")</f>
        <v/>
      </c>
      <c r="I254" s="3">
        <f>IFERROR(IF(INDEX('HMM Locations'!$C:$G,MATCH(F254,'HMM Locations'!$A:$A,0),D254)="","(not assigned)",INDEX('HMM Locations'!$C:$G,MATCH(F254,'HMM Locations'!$A:$A,0),D254)),"(not assigned)")</f>
        <v/>
      </c>
      <c r="J254" s="3">
        <f>IF(COUNTIF(G254:I254,"(not assigned)")=0,"Ready","Needs grid entry")</f>
        <v/>
      </c>
      <c r="K254" s="3" t="inlineStr"/>
      <c r="L254" s="3" t="inlineStr">
        <is>
          <t>忙、帮忙</t>
        </is>
      </c>
    </row>
    <row r="255" ht="15.75" customHeight="1" s="9">
      <c r="A255" s="7" t="inlineStr">
        <is>
          <t>每</t>
        </is>
      </c>
      <c r="B255" s="7" t="n">
        <v>2</v>
      </c>
      <c r="C255" s="3" t="inlineStr">
        <is>
          <t>měi</t>
        </is>
      </c>
      <c r="D255" s="3" t="n">
        <v>3</v>
      </c>
      <c r="E255" s="3" t="inlineStr">
        <is>
          <t>M</t>
        </is>
      </c>
      <c r="F255" s="3" t="inlineStr">
        <is>
          <t>EI</t>
        </is>
      </c>
      <c r="G255" s="3">
        <f>IFERROR(IF(INDEX('HMM Actors'!$B:$B,MATCH(E255,'HMM Actors'!$A:$A,0))="","(not assigned)",INDEX('HMM Actors'!$B:$B,MATCH(E255,'HMM Actors'!$A:$A,0))),"(not assigned)")</f>
        <v/>
      </c>
      <c r="H255" s="3">
        <f>IFERROR(IF(INDEX('HMM Locations'!$B:$B,MATCH(F255,'HMM Locations'!$A:$A,0))="","(not assigned)",INDEX('HMM Locations'!$B:$B,MATCH(F255,'HMM Locations'!$A:$A,0))),"(not assigned)")</f>
        <v/>
      </c>
      <c r="I255" s="3">
        <f>IFERROR(IF(INDEX('HMM Locations'!$C:$G,MATCH(F255,'HMM Locations'!$A:$A,0),D255)="","(not assigned)",INDEX('HMM Locations'!$C:$G,MATCH(F255,'HMM Locations'!$A:$A,0),D255)),"(not assigned)")</f>
        <v/>
      </c>
      <c r="J255" s="3">
        <f>IF(COUNTIF(G255:I255,"(not assigned)")=0,"Ready","Needs grid entry")</f>
        <v/>
      </c>
      <c r="K255" s="3" t="inlineStr"/>
      <c r="L255" s="3" t="inlineStr">
        <is>
          <t>每</t>
        </is>
      </c>
    </row>
    <row r="256" ht="15.75" customHeight="1" s="9">
      <c r="A256" s="7" t="inlineStr">
        <is>
          <t>妹</t>
        </is>
      </c>
      <c r="B256" s="7" t="n">
        <v>2</v>
      </c>
      <c r="C256" s="3" t="inlineStr">
        <is>
          <t>mèi</t>
        </is>
      </c>
      <c r="D256" s="3" t="n">
        <v>4</v>
      </c>
      <c r="E256" s="3" t="inlineStr">
        <is>
          <t>M</t>
        </is>
      </c>
      <c r="F256" s="3" t="inlineStr">
        <is>
          <t>EI</t>
        </is>
      </c>
      <c r="G256" s="3">
        <f>IFERROR(IF(INDEX('HMM Actors'!$B:$B,MATCH(E256,'HMM Actors'!$A:$A,0))="","(not assigned)",INDEX('HMM Actors'!$B:$B,MATCH(E256,'HMM Actors'!$A:$A,0))),"(not assigned)")</f>
        <v/>
      </c>
      <c r="H256" s="3">
        <f>IFERROR(IF(INDEX('HMM Locations'!$B:$B,MATCH(F256,'HMM Locations'!$A:$A,0))="","(not assigned)",INDEX('HMM Locations'!$B:$B,MATCH(F256,'HMM Locations'!$A:$A,0))),"(not assigned)")</f>
        <v/>
      </c>
      <c r="I256" s="3">
        <f>IFERROR(IF(INDEX('HMM Locations'!$C:$G,MATCH(F256,'HMM Locations'!$A:$A,0),D256)="","(not assigned)",INDEX('HMM Locations'!$C:$G,MATCH(F256,'HMM Locations'!$A:$A,0),D256)),"(not assigned)")</f>
        <v/>
      </c>
      <c r="J256" s="3">
        <f>IF(COUNTIF(G256:I256,"(not assigned)")=0,"Ready","Needs grid entry")</f>
        <v/>
      </c>
      <c r="K256" s="3" t="inlineStr"/>
      <c r="L256" s="3" t="inlineStr">
        <is>
          <t>妹妹</t>
        </is>
      </c>
    </row>
    <row r="257" ht="15.75" customHeight="1" s="9">
      <c r="A257" s="7" t="inlineStr">
        <is>
          <t>门</t>
        </is>
      </c>
      <c r="B257" s="7" t="n">
        <v>2</v>
      </c>
      <c r="C257" s="3" t="inlineStr">
        <is>
          <t>mén</t>
        </is>
      </c>
      <c r="D257" s="3" t="n">
        <v>2</v>
      </c>
      <c r="E257" s="3" t="inlineStr">
        <is>
          <t>M</t>
        </is>
      </c>
      <c r="F257" s="3" t="inlineStr">
        <is>
          <t>(E)N</t>
        </is>
      </c>
      <c r="G257" s="3">
        <f>IFERROR(IF(INDEX('HMM Actors'!$B:$B,MATCH(E257,'HMM Actors'!$A:$A,0))="","(not assigned)",INDEX('HMM Actors'!$B:$B,MATCH(E257,'HMM Actors'!$A:$A,0))),"(not assigned)")</f>
        <v/>
      </c>
      <c r="H257" s="3">
        <f>IFERROR(IF(INDEX('HMM Locations'!$B:$B,MATCH(F257,'HMM Locations'!$A:$A,0))="","(not assigned)",INDEX('HMM Locations'!$B:$B,MATCH(F257,'HMM Locations'!$A:$A,0))),"(not assigned)")</f>
        <v/>
      </c>
      <c r="I257" s="3">
        <f>IFERROR(IF(INDEX('HMM Locations'!$C:$G,MATCH(F257,'HMM Locations'!$A:$A,0),D257)="","(not assigned)",INDEX('HMM Locations'!$C:$G,MATCH(F257,'HMM Locations'!$A:$A,0),D257)),"(not assigned)")</f>
        <v/>
      </c>
      <c r="J257" s="3">
        <f>IF(COUNTIF(G257:I257,"(not assigned)")=0,"Ready","Needs grid entry")</f>
        <v/>
      </c>
      <c r="K257" s="3" t="inlineStr"/>
      <c r="L257" s="3" t="inlineStr">
        <is>
          <t>门</t>
        </is>
      </c>
    </row>
    <row r="258" ht="15.75" customHeight="1" s="9">
      <c r="A258" s="7" t="inlineStr">
        <is>
          <t>奶</t>
        </is>
      </c>
      <c r="B258" s="7" t="n">
        <v>2</v>
      </c>
      <c r="C258" s="3" t="inlineStr">
        <is>
          <t>nǎi</t>
        </is>
      </c>
      <c r="D258" s="3" t="n">
        <v>3</v>
      </c>
      <c r="E258" s="3" t="inlineStr">
        <is>
          <t>N</t>
        </is>
      </c>
      <c r="F258" s="3" t="inlineStr">
        <is>
          <t>AI</t>
        </is>
      </c>
      <c r="G258" s="3">
        <f>IFERROR(IF(INDEX('HMM Actors'!$B:$B,MATCH(E258,'HMM Actors'!$A:$A,0))="","(not assigned)",INDEX('HMM Actors'!$B:$B,MATCH(E258,'HMM Actors'!$A:$A,0))),"(not assigned)")</f>
        <v/>
      </c>
      <c r="H258" s="3">
        <f>IFERROR(IF(INDEX('HMM Locations'!$B:$B,MATCH(F258,'HMM Locations'!$A:$A,0))="","(not assigned)",INDEX('HMM Locations'!$B:$B,MATCH(F258,'HMM Locations'!$A:$A,0))),"(not assigned)")</f>
        <v/>
      </c>
      <c r="I258" s="3">
        <f>IFERROR(IF(INDEX('HMM Locations'!$C:$G,MATCH(F258,'HMM Locations'!$A:$A,0),D258)="","(not assigned)",INDEX('HMM Locations'!$C:$G,MATCH(F258,'HMM Locations'!$A:$A,0),D258)),"(not assigned)")</f>
        <v/>
      </c>
      <c r="J258" s="3">
        <f>IF(COUNTIF(G258:I258,"(not assigned)")=0,"Ready","Needs grid entry")</f>
        <v/>
      </c>
      <c r="K258" s="3" t="inlineStr"/>
      <c r="L258" s="3" t="inlineStr">
        <is>
          <t>牛奶、奶奶</t>
        </is>
      </c>
    </row>
    <row r="259" ht="15.75" customHeight="1" s="9">
      <c r="A259" s="7" t="inlineStr">
        <is>
          <t>男</t>
        </is>
      </c>
      <c r="B259" s="7" t="n">
        <v>2</v>
      </c>
      <c r="C259" s="3" t="inlineStr">
        <is>
          <t>nán</t>
        </is>
      </c>
      <c r="D259" s="3" t="n">
        <v>2</v>
      </c>
      <c r="E259" s="3" t="inlineStr">
        <is>
          <t>N</t>
        </is>
      </c>
      <c r="F259" s="3" t="inlineStr">
        <is>
          <t>AN</t>
        </is>
      </c>
      <c r="G259" s="3">
        <f>IFERROR(IF(INDEX('HMM Actors'!$B:$B,MATCH(E259,'HMM Actors'!$A:$A,0))="","(not assigned)",INDEX('HMM Actors'!$B:$B,MATCH(E259,'HMM Actors'!$A:$A,0))),"(not assigned)")</f>
        <v/>
      </c>
      <c r="H259" s="3">
        <f>IFERROR(IF(INDEX('HMM Locations'!$B:$B,MATCH(F259,'HMM Locations'!$A:$A,0))="","(not assigned)",INDEX('HMM Locations'!$B:$B,MATCH(F259,'HMM Locations'!$A:$A,0))),"(not assigned)")</f>
        <v/>
      </c>
      <c r="I259" s="3">
        <f>IFERROR(IF(INDEX('HMM Locations'!$C:$G,MATCH(F259,'HMM Locations'!$A:$A,0),D259)="","(not assigned)",INDEX('HMM Locations'!$C:$G,MATCH(F259,'HMM Locations'!$A:$A,0),D259)),"(not assigned)")</f>
        <v/>
      </c>
      <c r="J259" s="3">
        <f>IF(COUNTIF(G259:I259,"(not assigned)")=0,"Ready","Needs grid entry")</f>
        <v/>
      </c>
      <c r="K259" s="3" t="inlineStr"/>
      <c r="L259" s="3" t="inlineStr">
        <is>
          <t>男</t>
        </is>
      </c>
    </row>
    <row r="260" ht="15.75" customHeight="1" s="9">
      <c r="A260" s="7" t="inlineStr">
        <is>
          <t>您</t>
        </is>
      </c>
      <c r="B260" s="7" t="n">
        <v>2</v>
      </c>
      <c r="C260" s="3" t="inlineStr">
        <is>
          <t>nín</t>
        </is>
      </c>
      <c r="D260" s="3" t="n">
        <v>2</v>
      </c>
      <c r="E260" s="3" t="inlineStr">
        <is>
          <t>N</t>
        </is>
      </c>
      <c r="F260" s="3" t="inlineStr">
        <is>
          <t>IN</t>
        </is>
      </c>
      <c r="G260" s="3">
        <f>IFERROR(IF(INDEX('HMM Actors'!$B:$B,MATCH(E260,'HMM Actors'!$A:$A,0))="","(not assigned)",INDEX('HMM Actors'!$B:$B,MATCH(E260,'HMM Actors'!$A:$A,0))),"(not assigned)")</f>
        <v/>
      </c>
      <c r="H260" s="3">
        <f>IFERROR(IF(INDEX('HMM Locations'!$B:$B,MATCH(F260,'HMM Locations'!$A:$A,0))="","(not assigned)",INDEX('HMM Locations'!$B:$B,MATCH(F260,'HMM Locations'!$A:$A,0))),"(not assigned)")</f>
        <v/>
      </c>
      <c r="I260" s="3">
        <f>IFERROR(IF(INDEX('HMM Locations'!$C:$G,MATCH(F260,'HMM Locations'!$A:$A,0),D260)="","(not assigned)",INDEX('HMM Locations'!$C:$G,MATCH(F260,'HMM Locations'!$A:$A,0),D260)),"(not assigned)")</f>
        <v/>
      </c>
      <c r="J260" s="3">
        <f>IF(COUNTIF(G260:I260,"(not assigned)")=0,"Ready","Needs grid entry")</f>
        <v/>
      </c>
      <c r="K260" s="3" t="inlineStr"/>
      <c r="L260" s="3" t="inlineStr">
        <is>
          <t>您</t>
        </is>
      </c>
    </row>
    <row r="261" ht="15.75" customHeight="1" s="9">
      <c r="A261" s="7" t="inlineStr">
        <is>
          <t>牛</t>
        </is>
      </c>
      <c r="B261" s="7" t="n">
        <v>2</v>
      </c>
      <c r="C261" s="3" t="inlineStr">
        <is>
          <t>niú</t>
        </is>
      </c>
      <c r="D261" s="3" t="n">
        <v>2</v>
      </c>
      <c r="E261" s="3" t="inlineStr">
        <is>
          <t>N</t>
        </is>
      </c>
      <c r="F261" s="3" t="inlineStr">
        <is>
          <t>IU</t>
        </is>
      </c>
      <c r="G261" s="3">
        <f>IFERROR(IF(INDEX('HMM Actors'!$B:$B,MATCH(E261,'HMM Actors'!$A:$A,0))="","(not assigned)",INDEX('HMM Actors'!$B:$B,MATCH(E261,'HMM Actors'!$A:$A,0))),"(not assigned)")</f>
        <v/>
      </c>
      <c r="H261" s="3">
        <f>IFERROR(IF(INDEX('HMM Locations'!$B:$B,MATCH(F261,'HMM Locations'!$A:$A,0))="","(not assigned)",INDEX('HMM Locations'!$B:$B,MATCH(F261,'HMM Locations'!$A:$A,0))),"(not assigned)")</f>
        <v/>
      </c>
      <c r="I261" s="3">
        <f>IFERROR(IF(INDEX('HMM Locations'!$C:$G,MATCH(F261,'HMM Locations'!$A:$A,0),D261)="","(not assigned)",INDEX('HMM Locations'!$C:$G,MATCH(F261,'HMM Locations'!$A:$A,0),D261)),"(not assigned)")</f>
        <v/>
      </c>
      <c r="J261" s="3">
        <f>IF(COUNTIF(G261:I261,"(not assigned)")=0,"Ready","Needs grid entry")</f>
        <v/>
      </c>
      <c r="K261" s="3" t="inlineStr"/>
      <c r="L261" s="3" t="inlineStr">
        <is>
          <t>牛奶</t>
        </is>
      </c>
    </row>
    <row r="262" ht="15.75" customHeight="1" s="9">
      <c r="A262" s="7" t="inlineStr">
        <is>
          <t>旁</t>
        </is>
      </c>
      <c r="B262" s="7" t="n">
        <v>2</v>
      </c>
      <c r="C262" s="3" t="inlineStr">
        <is>
          <t>páng</t>
        </is>
      </c>
      <c r="D262" s="3" t="n">
        <v>2</v>
      </c>
      <c r="E262" s="3" t="inlineStr">
        <is>
          <t>P</t>
        </is>
      </c>
      <c r="F262" s="3" t="inlineStr">
        <is>
          <t>ANG</t>
        </is>
      </c>
      <c r="G262" s="3">
        <f>IFERROR(IF(INDEX('HMM Actors'!$B:$B,MATCH(E262,'HMM Actors'!$A:$A,0))="","(not assigned)",INDEX('HMM Actors'!$B:$B,MATCH(E262,'HMM Actors'!$A:$A,0))),"(not assigned)")</f>
        <v/>
      </c>
      <c r="H262" s="3">
        <f>IFERROR(IF(INDEX('HMM Locations'!$B:$B,MATCH(F262,'HMM Locations'!$A:$A,0))="","(not assigned)",INDEX('HMM Locations'!$B:$B,MATCH(F262,'HMM Locations'!$A:$A,0))),"(not assigned)")</f>
        <v/>
      </c>
      <c r="I262" s="3">
        <f>IFERROR(IF(INDEX('HMM Locations'!$C:$G,MATCH(F262,'HMM Locations'!$A:$A,0),D262)="","(not assigned)",INDEX('HMM Locations'!$C:$G,MATCH(F262,'HMM Locations'!$A:$A,0),D262)),"(not assigned)")</f>
        <v/>
      </c>
      <c r="J262" s="3">
        <f>IF(COUNTIF(G262:I262,"(not assigned)")=0,"Ready","Needs grid entry")</f>
        <v/>
      </c>
      <c r="K262" s="3" t="inlineStr"/>
      <c r="L262" s="3" t="inlineStr">
        <is>
          <t>旁边</t>
        </is>
      </c>
    </row>
    <row r="263" ht="15.75" customHeight="1" s="9">
      <c r="A263" s="7" t="inlineStr">
        <is>
          <t>跑</t>
        </is>
      </c>
      <c r="B263" s="7" t="n">
        <v>2</v>
      </c>
      <c r="C263" s="3" t="inlineStr">
        <is>
          <t>pǎo</t>
        </is>
      </c>
      <c r="D263" s="3" t="n">
        <v>3</v>
      </c>
      <c r="E263" s="3" t="inlineStr">
        <is>
          <t>P</t>
        </is>
      </c>
      <c r="F263" s="3" t="inlineStr">
        <is>
          <t>AO</t>
        </is>
      </c>
      <c r="G263" s="3">
        <f>IFERROR(IF(INDEX('HMM Actors'!$B:$B,MATCH(E263,'HMM Actors'!$A:$A,0))="","(not assigned)",INDEX('HMM Actors'!$B:$B,MATCH(E263,'HMM Actors'!$A:$A,0))),"(not assigned)")</f>
        <v/>
      </c>
      <c r="H263" s="3">
        <f>IFERROR(IF(INDEX('HMM Locations'!$B:$B,MATCH(F263,'HMM Locations'!$A:$A,0))="","(not assigned)",INDEX('HMM Locations'!$B:$B,MATCH(F263,'HMM Locations'!$A:$A,0))),"(not assigned)")</f>
        <v/>
      </c>
      <c r="I263" s="3">
        <f>IFERROR(IF(INDEX('HMM Locations'!$C:$G,MATCH(F263,'HMM Locations'!$A:$A,0),D263)="","(not assigned)",INDEX('HMM Locations'!$C:$G,MATCH(F263,'HMM Locations'!$A:$A,0),D263)),"(not assigned)")</f>
        <v/>
      </c>
      <c r="J263" s="3">
        <f>IF(COUNTIF(G263:I263,"(not assigned)")=0,"Ready","Needs grid entry")</f>
        <v/>
      </c>
      <c r="K263" s="3" t="inlineStr"/>
      <c r="L263" s="3" t="inlineStr">
        <is>
          <t>跑步</t>
        </is>
      </c>
    </row>
    <row r="264" ht="15.75" customHeight="1" s="9">
      <c r="A264" s="7" t="inlineStr">
        <is>
          <t>票</t>
        </is>
      </c>
      <c r="B264" s="7" t="n">
        <v>2</v>
      </c>
      <c r="C264" s="3" t="inlineStr">
        <is>
          <t>piào</t>
        </is>
      </c>
      <c r="D264" s="3" t="n">
        <v>4</v>
      </c>
      <c r="E264" s="3" t="inlineStr">
        <is>
          <t>P</t>
        </is>
      </c>
      <c r="F264" s="3" t="inlineStr">
        <is>
          <t>IAO</t>
        </is>
      </c>
      <c r="G264" s="3">
        <f>IFERROR(IF(INDEX('HMM Actors'!$B:$B,MATCH(E264,'HMM Actors'!$A:$A,0))="","(not assigned)",INDEX('HMM Actors'!$B:$B,MATCH(E264,'HMM Actors'!$A:$A,0))),"(not assigned)")</f>
        <v/>
      </c>
      <c r="H264" s="3">
        <f>IFERROR(IF(INDEX('HMM Locations'!$B:$B,MATCH(F264,'HMM Locations'!$A:$A,0))="","(not assigned)",INDEX('HMM Locations'!$B:$B,MATCH(F264,'HMM Locations'!$A:$A,0))),"(not assigned)")</f>
        <v/>
      </c>
      <c r="I264" s="3">
        <f>IFERROR(IF(INDEX('HMM Locations'!$C:$G,MATCH(F264,'HMM Locations'!$A:$A,0),D264)="","(not assigned)",INDEX('HMM Locations'!$C:$G,MATCH(F264,'HMM Locations'!$A:$A,0),D264)),"(not assigned)")</f>
        <v/>
      </c>
      <c r="J264" s="3">
        <f>IF(COUNTIF(G264:I264,"(not assigned)")=0,"Ready","Needs grid entry")</f>
        <v/>
      </c>
      <c r="K264" s="3" t="inlineStr"/>
      <c r="L264" s="3" t="inlineStr">
        <is>
          <t>票</t>
        </is>
      </c>
    </row>
    <row r="265" ht="15.75" customHeight="1" s="9">
      <c r="A265" s="7" t="inlineStr">
        <is>
          <t>妻</t>
        </is>
      </c>
      <c r="B265" s="7" t="n">
        <v>2</v>
      </c>
      <c r="C265" s="3" t="inlineStr">
        <is>
          <t>qī</t>
        </is>
      </c>
      <c r="D265" s="3" t="n">
        <v>1</v>
      </c>
      <c r="E265" s="3" t="inlineStr">
        <is>
          <t>Q</t>
        </is>
      </c>
      <c r="F265" s="3" t="inlineStr">
        <is>
          <t>I</t>
        </is>
      </c>
      <c r="G265" s="3">
        <f>IFERROR(IF(INDEX('HMM Actors'!$B:$B,MATCH(E265,'HMM Actors'!$A:$A,0))="","(not assigned)",INDEX('HMM Actors'!$B:$B,MATCH(E265,'HMM Actors'!$A:$A,0))),"(not assigned)")</f>
        <v/>
      </c>
      <c r="H265" s="3">
        <f>IFERROR(IF(INDEX('HMM Locations'!$B:$B,MATCH(F265,'HMM Locations'!$A:$A,0))="","(not assigned)",INDEX('HMM Locations'!$B:$B,MATCH(F265,'HMM Locations'!$A:$A,0))),"(not assigned)")</f>
        <v/>
      </c>
      <c r="I265" s="3">
        <f>IFERROR(IF(INDEX('HMM Locations'!$C:$G,MATCH(F265,'HMM Locations'!$A:$A,0),D265)="","(not assigned)",INDEX('HMM Locations'!$C:$G,MATCH(F265,'HMM Locations'!$A:$A,0),D265)),"(not assigned)")</f>
        <v/>
      </c>
      <c r="J265" s="3">
        <f>IF(COUNTIF(G265:I265,"(not assigned)")=0,"Ready","Needs grid entry")</f>
        <v/>
      </c>
      <c r="K265" s="3" t="inlineStr"/>
      <c r="L265" s="3" t="inlineStr">
        <is>
          <t>妻子</t>
        </is>
      </c>
    </row>
    <row r="266" ht="15.75" customHeight="1" s="9">
      <c r="A266" s="7" t="inlineStr">
        <is>
          <t>汽</t>
        </is>
      </c>
      <c r="B266" s="7" t="n">
        <v>2</v>
      </c>
      <c r="C266" s="3" t="inlineStr">
        <is>
          <t>qì</t>
        </is>
      </c>
      <c r="D266" s="3" t="n">
        <v>4</v>
      </c>
      <c r="E266" s="3" t="inlineStr">
        <is>
          <t>Q</t>
        </is>
      </c>
      <c r="F266" s="3" t="inlineStr">
        <is>
          <t>I</t>
        </is>
      </c>
      <c r="G266" s="3">
        <f>IFERROR(IF(INDEX('HMM Actors'!$B:$B,MATCH(E266,'HMM Actors'!$A:$A,0))="","(not assigned)",INDEX('HMM Actors'!$B:$B,MATCH(E266,'HMM Actors'!$A:$A,0))),"(not assigned)")</f>
        <v/>
      </c>
      <c r="H266" s="3">
        <f>IFERROR(IF(INDEX('HMM Locations'!$B:$B,MATCH(F266,'HMM Locations'!$A:$A,0))="","(not assigned)",INDEX('HMM Locations'!$B:$B,MATCH(F266,'HMM Locations'!$A:$A,0))),"(not assigned)")</f>
        <v/>
      </c>
      <c r="I266" s="3">
        <f>IFERROR(IF(INDEX('HMM Locations'!$C:$G,MATCH(F266,'HMM Locations'!$A:$A,0),D266)="","(not assigned)",INDEX('HMM Locations'!$C:$G,MATCH(F266,'HMM Locations'!$A:$A,0),D266)),"(not assigned)")</f>
        <v/>
      </c>
      <c r="J266" s="3">
        <f>IF(COUNTIF(G266:I266,"(not assigned)")=0,"Ready","Needs grid entry")</f>
        <v/>
      </c>
      <c r="K266" s="3" t="inlineStr"/>
      <c r="L266" s="3" t="inlineStr">
        <is>
          <t>公共汽车</t>
        </is>
      </c>
    </row>
    <row r="267" ht="15.75" customHeight="1" s="9">
      <c r="A267" s="7" t="inlineStr">
        <is>
          <t>千</t>
        </is>
      </c>
      <c r="B267" s="7" t="n">
        <v>2</v>
      </c>
      <c r="C267" s="3" t="inlineStr">
        <is>
          <t>qiān</t>
        </is>
      </c>
      <c r="D267" s="3" t="n">
        <v>1</v>
      </c>
      <c r="E267" s="3" t="inlineStr">
        <is>
          <t>Q</t>
        </is>
      </c>
      <c r="F267" s="3" t="inlineStr">
        <is>
          <t>IAN</t>
        </is>
      </c>
      <c r="G267" s="3">
        <f>IFERROR(IF(INDEX('HMM Actors'!$B:$B,MATCH(E267,'HMM Actors'!$A:$A,0))="","(not assigned)",INDEX('HMM Actors'!$B:$B,MATCH(E267,'HMM Actors'!$A:$A,0))),"(not assigned)")</f>
        <v/>
      </c>
      <c r="H267" s="3">
        <f>IFERROR(IF(INDEX('HMM Locations'!$B:$B,MATCH(F267,'HMM Locations'!$A:$A,0))="","(not assigned)",INDEX('HMM Locations'!$B:$B,MATCH(F267,'HMM Locations'!$A:$A,0))),"(not assigned)")</f>
        <v/>
      </c>
      <c r="I267" s="3">
        <f>IFERROR(IF(INDEX('HMM Locations'!$C:$G,MATCH(F267,'HMM Locations'!$A:$A,0),D267)="","(not assigned)",INDEX('HMM Locations'!$C:$G,MATCH(F267,'HMM Locations'!$A:$A,0),D267)),"(not assigned)")</f>
        <v/>
      </c>
      <c r="J267" s="3">
        <f>IF(COUNTIF(G267:I267,"(not assigned)")=0,"Ready","Needs grid entry")</f>
        <v/>
      </c>
      <c r="K267" s="3" t="inlineStr"/>
      <c r="L267" s="3" t="inlineStr">
        <is>
          <t>千</t>
        </is>
      </c>
    </row>
    <row r="268" ht="15.75" customHeight="1" s="9">
      <c r="A268" s="7" t="inlineStr">
        <is>
          <t>铅</t>
        </is>
      </c>
      <c r="B268" s="7" t="n">
        <v>2</v>
      </c>
      <c r="C268" s="3" t="inlineStr">
        <is>
          <t>qiān</t>
        </is>
      </c>
      <c r="D268" s="3" t="n">
        <v>1</v>
      </c>
      <c r="E268" s="3" t="inlineStr">
        <is>
          <t>Q</t>
        </is>
      </c>
      <c r="F268" s="3" t="inlineStr">
        <is>
          <t>IAN</t>
        </is>
      </c>
      <c r="G268" s="3">
        <f>IFERROR(IF(INDEX('HMM Actors'!$B:$B,MATCH(E268,'HMM Actors'!$A:$A,0))="","(not assigned)",INDEX('HMM Actors'!$B:$B,MATCH(E268,'HMM Actors'!$A:$A,0))),"(not assigned)")</f>
        <v/>
      </c>
      <c r="H268" s="3">
        <f>IFERROR(IF(INDEX('HMM Locations'!$B:$B,MATCH(F268,'HMM Locations'!$A:$A,0))="","(not assigned)",INDEX('HMM Locations'!$B:$B,MATCH(F268,'HMM Locations'!$A:$A,0))),"(not assigned)")</f>
        <v/>
      </c>
      <c r="I268" s="3">
        <f>IFERROR(IF(INDEX('HMM Locations'!$C:$G,MATCH(F268,'HMM Locations'!$A:$A,0),D268)="","(not assigned)",INDEX('HMM Locations'!$C:$G,MATCH(F268,'HMM Locations'!$A:$A,0),D268)),"(not assigned)")</f>
        <v/>
      </c>
      <c r="J268" s="3">
        <f>IF(COUNTIF(G268:I268,"(not assigned)")=0,"Ready","Needs grid entry")</f>
        <v/>
      </c>
      <c r="K268" s="3" t="inlineStr"/>
      <c r="L268" s="3" t="inlineStr">
        <is>
          <t>铅笔</t>
        </is>
      </c>
    </row>
    <row r="269" ht="15.75" customHeight="1" s="9">
      <c r="A269" s="7" t="inlineStr">
        <is>
          <t>情</t>
        </is>
      </c>
      <c r="B269" s="7" t="n">
        <v>2</v>
      </c>
      <c r="C269" s="3" t="inlineStr">
        <is>
          <t>qíng</t>
        </is>
      </c>
      <c r="D269" s="3" t="n">
        <v>2</v>
      </c>
      <c r="E269" s="3" t="inlineStr">
        <is>
          <t>Q</t>
        </is>
      </c>
      <c r="F269" s="3" t="inlineStr">
        <is>
          <t>ING</t>
        </is>
      </c>
      <c r="G269" s="3">
        <f>IFERROR(IF(INDEX('HMM Actors'!$B:$B,MATCH(E269,'HMM Actors'!$A:$A,0))="","(not assigned)",INDEX('HMM Actors'!$B:$B,MATCH(E269,'HMM Actors'!$A:$A,0))),"(not assigned)")</f>
        <v/>
      </c>
      <c r="H269" s="3">
        <f>IFERROR(IF(INDEX('HMM Locations'!$B:$B,MATCH(F269,'HMM Locations'!$A:$A,0))="","(not assigned)",INDEX('HMM Locations'!$B:$B,MATCH(F269,'HMM Locations'!$A:$A,0))),"(not assigned)")</f>
        <v/>
      </c>
      <c r="I269" s="3">
        <f>IFERROR(IF(INDEX('HMM Locations'!$C:$G,MATCH(F269,'HMM Locations'!$A:$A,0),D269)="","(not assigned)",INDEX('HMM Locations'!$C:$G,MATCH(F269,'HMM Locations'!$A:$A,0),D269)),"(not assigned)")</f>
        <v/>
      </c>
      <c r="J269" s="3">
        <f>IF(COUNTIF(G269:I269,"(not assigned)")=0,"Ready","Needs grid entry")</f>
        <v/>
      </c>
      <c r="K269" s="3" t="inlineStr"/>
      <c r="L269" s="3" t="inlineStr">
        <is>
          <t>事情、热情</t>
        </is>
      </c>
    </row>
    <row r="270" ht="15.75" customHeight="1" s="9">
      <c r="A270" s="7" t="inlineStr">
        <is>
          <t>晴</t>
        </is>
      </c>
      <c r="B270" s="7" t="n">
        <v>2</v>
      </c>
      <c r="C270" s="3" t="inlineStr">
        <is>
          <t>qíng</t>
        </is>
      </c>
      <c r="D270" s="3" t="n">
        <v>2</v>
      </c>
      <c r="E270" s="3" t="inlineStr">
        <is>
          <t>Q</t>
        </is>
      </c>
      <c r="F270" s="3" t="inlineStr">
        <is>
          <t>ING</t>
        </is>
      </c>
      <c r="G270" s="3">
        <f>IFERROR(IF(INDEX('HMM Actors'!$B:$B,MATCH(E270,'HMM Actors'!$A:$A,0))="","(not assigned)",INDEX('HMM Actors'!$B:$B,MATCH(E270,'HMM Actors'!$A:$A,0))),"(not assigned)")</f>
        <v/>
      </c>
      <c r="H270" s="3">
        <f>IFERROR(IF(INDEX('HMM Locations'!$B:$B,MATCH(F270,'HMM Locations'!$A:$A,0))="","(not assigned)",INDEX('HMM Locations'!$B:$B,MATCH(F270,'HMM Locations'!$A:$A,0))),"(not assigned)")</f>
        <v/>
      </c>
      <c r="I270" s="3">
        <f>IFERROR(IF(INDEX('HMM Locations'!$C:$G,MATCH(F270,'HMM Locations'!$A:$A,0),D270)="","(not assigned)",INDEX('HMM Locations'!$C:$G,MATCH(F270,'HMM Locations'!$A:$A,0),D270)),"(not assigned)")</f>
        <v/>
      </c>
      <c r="J270" s="3">
        <f>IF(COUNTIF(G270:I270,"(not assigned)")=0,"Ready","Needs grid entry")</f>
        <v/>
      </c>
      <c r="K270" s="3" t="inlineStr"/>
      <c r="L270" s="3" t="inlineStr">
        <is>
          <t>晴</t>
        </is>
      </c>
    </row>
    <row r="271" ht="15.75" customHeight="1" s="9">
      <c r="A271" s="7" t="inlineStr">
        <is>
          <t>球</t>
        </is>
      </c>
      <c r="B271" s="7" t="n">
        <v>2</v>
      </c>
      <c r="C271" s="3" t="inlineStr">
        <is>
          <t>qiú</t>
        </is>
      </c>
      <c r="D271" s="3" t="n">
        <v>2</v>
      </c>
      <c r="E271" s="3" t="inlineStr">
        <is>
          <t>Q</t>
        </is>
      </c>
      <c r="F271" s="3" t="inlineStr">
        <is>
          <t>IU</t>
        </is>
      </c>
      <c r="G271" s="3">
        <f>IFERROR(IF(INDEX('HMM Actors'!$B:$B,MATCH(E271,'HMM Actors'!$A:$A,0))="","(not assigned)",INDEX('HMM Actors'!$B:$B,MATCH(E271,'HMM Actors'!$A:$A,0))),"(not assigned)")</f>
        <v/>
      </c>
      <c r="H271" s="3">
        <f>IFERROR(IF(INDEX('HMM Locations'!$B:$B,MATCH(F271,'HMM Locations'!$A:$A,0))="","(not assigned)",INDEX('HMM Locations'!$B:$B,MATCH(F271,'HMM Locations'!$A:$A,0))),"(not assigned)")</f>
        <v/>
      </c>
      <c r="I271" s="3">
        <f>IFERROR(IF(INDEX('HMM Locations'!$C:$G,MATCH(F271,'HMM Locations'!$A:$A,0),D271)="","(not assigned)",INDEX('HMM Locations'!$C:$G,MATCH(F271,'HMM Locations'!$A:$A,0),D271)),"(not assigned)")</f>
        <v/>
      </c>
      <c r="J271" s="3">
        <f>IF(COUNTIF(G271:I271,"(not assigned)")=0,"Ready","Needs grid entry")</f>
        <v/>
      </c>
      <c r="K271" s="3" t="inlineStr"/>
      <c r="L271" s="3" t="inlineStr">
        <is>
          <t>打篮球、踢足球</t>
        </is>
      </c>
    </row>
    <row r="272" ht="15.75" customHeight="1" s="9">
      <c r="A272" s="7" t="inlineStr">
        <is>
          <t>然</t>
        </is>
      </c>
      <c r="B272" s="7" t="n">
        <v>2</v>
      </c>
      <c r="C272" s="3" t="inlineStr">
        <is>
          <t>rán</t>
        </is>
      </c>
      <c r="D272" s="3" t="n">
        <v>2</v>
      </c>
      <c r="E272" s="3" t="inlineStr">
        <is>
          <t>R</t>
        </is>
      </c>
      <c r="F272" s="3" t="inlineStr">
        <is>
          <t>AN</t>
        </is>
      </c>
      <c r="G272" s="3">
        <f>IFERROR(IF(INDEX('HMM Actors'!$B:$B,MATCH(E272,'HMM Actors'!$A:$A,0))="","(not assigned)",INDEX('HMM Actors'!$B:$B,MATCH(E272,'HMM Actors'!$A:$A,0))),"(not assigned)")</f>
        <v/>
      </c>
      <c r="H272" s="3">
        <f>IFERROR(IF(INDEX('HMM Locations'!$B:$B,MATCH(F272,'HMM Locations'!$A:$A,0))="","(not assigned)",INDEX('HMM Locations'!$B:$B,MATCH(F272,'HMM Locations'!$A:$A,0))),"(not assigned)")</f>
        <v/>
      </c>
      <c r="I272" s="3">
        <f>IFERROR(IF(INDEX('HMM Locations'!$C:$G,MATCH(F272,'HMM Locations'!$A:$A,0),D272)="","(not assigned)",INDEX('HMM Locations'!$C:$G,MATCH(F272,'HMM Locations'!$A:$A,0),D272)),"(not assigned)")</f>
        <v/>
      </c>
      <c r="J272" s="3">
        <f>IF(COUNTIF(G272:I272,"(not assigned)")=0,"Ready","Needs grid entry")</f>
        <v/>
      </c>
      <c r="K272" s="3" t="inlineStr"/>
      <c r="L272" s="3" t="inlineStr">
        <is>
          <t>虽然…但是…、当然、然后、突然</t>
        </is>
      </c>
    </row>
    <row r="273" ht="15.75" customHeight="1" s="9">
      <c r="A273" s="7" t="inlineStr">
        <is>
          <t>让</t>
        </is>
      </c>
      <c r="B273" s="7" t="n">
        <v>2</v>
      </c>
      <c r="C273" s="3" t="inlineStr">
        <is>
          <t>ràng</t>
        </is>
      </c>
      <c r="D273" s="3" t="n">
        <v>4</v>
      </c>
      <c r="E273" s="3" t="inlineStr">
        <is>
          <t>R</t>
        </is>
      </c>
      <c r="F273" s="3" t="inlineStr">
        <is>
          <t>ANG</t>
        </is>
      </c>
      <c r="G273" s="3">
        <f>IFERROR(IF(INDEX('HMM Actors'!$B:$B,MATCH(E273,'HMM Actors'!$A:$A,0))="","(not assigned)",INDEX('HMM Actors'!$B:$B,MATCH(E273,'HMM Actors'!$A:$A,0))),"(not assigned)")</f>
        <v/>
      </c>
      <c r="H273" s="3">
        <f>IFERROR(IF(INDEX('HMM Locations'!$B:$B,MATCH(F273,'HMM Locations'!$A:$A,0))="","(not assigned)",INDEX('HMM Locations'!$B:$B,MATCH(F273,'HMM Locations'!$A:$A,0))),"(not assigned)")</f>
        <v/>
      </c>
      <c r="I273" s="3">
        <f>IFERROR(IF(INDEX('HMM Locations'!$C:$G,MATCH(F273,'HMM Locations'!$A:$A,0),D273)="","(not assigned)",INDEX('HMM Locations'!$C:$G,MATCH(F273,'HMM Locations'!$A:$A,0),D273)),"(not assigned)")</f>
        <v/>
      </c>
      <c r="J273" s="3">
        <f>IF(COUNTIF(G273:I273,"(not assigned)")=0,"Ready","Needs grid entry")</f>
        <v/>
      </c>
      <c r="K273" s="3" t="inlineStr"/>
      <c r="L273" s="3" t="inlineStr">
        <is>
          <t>让</t>
        </is>
      </c>
    </row>
    <row r="274" ht="15.75" customHeight="1" s="9">
      <c r="A274" s="7" t="inlineStr">
        <is>
          <t>日</t>
        </is>
      </c>
      <c r="B274" s="7" t="n">
        <v>2</v>
      </c>
      <c r="C274" s="3" t="inlineStr">
        <is>
          <t>rì</t>
        </is>
      </c>
      <c r="D274" s="3" t="n">
        <v>4</v>
      </c>
      <c r="E274" s="3" t="inlineStr">
        <is>
          <t>R</t>
        </is>
      </c>
      <c r="F274" s="3" t="inlineStr">
        <is>
          <t>Ø (no final)</t>
        </is>
      </c>
      <c r="G274" s="3">
        <f>IFERROR(IF(INDEX('HMM Actors'!$B:$B,MATCH(E274,'HMM Actors'!$A:$A,0))="","(not assigned)",INDEX('HMM Actors'!$B:$B,MATCH(E274,'HMM Actors'!$A:$A,0))),"(not assigned)")</f>
        <v/>
      </c>
      <c r="H274" s="3">
        <f>IFERROR(IF(INDEX('HMM Locations'!$B:$B,MATCH(F274,'HMM Locations'!$A:$A,0))="","(not assigned)",INDEX('HMM Locations'!$B:$B,MATCH(F274,'HMM Locations'!$A:$A,0))),"(not assigned)")</f>
        <v/>
      </c>
      <c r="I274" s="3">
        <f>IFERROR(IF(INDEX('HMM Locations'!$C:$G,MATCH(F274,'HMM Locations'!$A:$A,0),D274)="","(not assigned)",INDEX('HMM Locations'!$C:$G,MATCH(F274,'HMM Locations'!$A:$A,0),D274)),"(not assigned)")</f>
        <v/>
      </c>
      <c r="J274" s="3">
        <f>IF(COUNTIF(G274:I274,"(not assigned)")=0,"Ready","Needs grid entry")</f>
        <v/>
      </c>
      <c r="K274" s="3" t="inlineStr"/>
      <c r="L274" s="3" t="inlineStr">
        <is>
          <t>日、生日、节日</t>
        </is>
      </c>
    </row>
    <row r="275" ht="15.75" customHeight="1" s="9">
      <c r="A275" s="7" t="inlineStr">
        <is>
          <t>肉</t>
        </is>
      </c>
      <c r="B275" s="7" t="n">
        <v>2</v>
      </c>
      <c r="C275" s="3" t="inlineStr">
        <is>
          <t>ròu</t>
        </is>
      </c>
      <c r="D275" s="3" t="n">
        <v>4</v>
      </c>
      <c r="E275" s="3" t="inlineStr">
        <is>
          <t>R</t>
        </is>
      </c>
      <c r="F275" s="3" t="inlineStr">
        <is>
          <t>OU</t>
        </is>
      </c>
      <c r="G275" s="3">
        <f>IFERROR(IF(INDEX('HMM Actors'!$B:$B,MATCH(E275,'HMM Actors'!$A:$A,0))="","(not assigned)",INDEX('HMM Actors'!$B:$B,MATCH(E275,'HMM Actors'!$A:$A,0))),"(not assigned)")</f>
        <v/>
      </c>
      <c r="H275" s="3">
        <f>IFERROR(IF(INDEX('HMM Locations'!$B:$B,MATCH(F275,'HMM Locations'!$A:$A,0))="","(not assigned)",INDEX('HMM Locations'!$B:$B,MATCH(F275,'HMM Locations'!$A:$A,0))),"(not assigned)")</f>
        <v/>
      </c>
      <c r="I275" s="3">
        <f>IFERROR(IF(INDEX('HMM Locations'!$C:$G,MATCH(F275,'HMM Locations'!$A:$A,0),D275)="","(not assigned)",INDEX('HMM Locations'!$C:$G,MATCH(F275,'HMM Locations'!$A:$A,0),D275)),"(not assigned)")</f>
        <v/>
      </c>
      <c r="J275" s="3">
        <f>IF(COUNTIF(G275:I275,"(not assigned)")=0,"Ready","Needs grid entry")</f>
        <v/>
      </c>
      <c r="K275" s="3" t="inlineStr"/>
      <c r="L275" s="3" t="inlineStr">
        <is>
          <t>羊肉</t>
        </is>
      </c>
    </row>
    <row r="276" ht="15.75" customHeight="1" s="9">
      <c r="A276" s="7" t="inlineStr">
        <is>
          <t>色</t>
        </is>
      </c>
      <c r="B276" s="7" t="n">
        <v>2</v>
      </c>
      <c r="C276" s="3" t="inlineStr">
        <is>
          <t>sè</t>
        </is>
      </c>
      <c r="D276" s="3" t="n">
        <v>4</v>
      </c>
      <c r="E276" s="3" t="inlineStr">
        <is>
          <t>S</t>
        </is>
      </c>
      <c r="F276" s="3" t="inlineStr">
        <is>
          <t>E</t>
        </is>
      </c>
      <c r="G276" s="3">
        <f>IFERROR(IF(INDEX('HMM Actors'!$B:$B,MATCH(E276,'HMM Actors'!$A:$A,0))="","(not assigned)",INDEX('HMM Actors'!$B:$B,MATCH(E276,'HMM Actors'!$A:$A,0))),"(not assigned)")</f>
        <v/>
      </c>
      <c r="H276" s="3">
        <f>IFERROR(IF(INDEX('HMM Locations'!$B:$B,MATCH(F276,'HMM Locations'!$A:$A,0))="","(not assigned)",INDEX('HMM Locations'!$B:$B,MATCH(F276,'HMM Locations'!$A:$A,0))),"(not assigned)")</f>
        <v/>
      </c>
      <c r="I276" s="3">
        <f>IFERROR(IF(INDEX('HMM Locations'!$C:$G,MATCH(F276,'HMM Locations'!$A:$A,0),D276)="","(not assigned)",INDEX('HMM Locations'!$C:$G,MATCH(F276,'HMM Locations'!$A:$A,0),D276)),"(not assigned)")</f>
        <v/>
      </c>
      <c r="J276" s="3">
        <f>IF(COUNTIF(G276:I276,"(not assigned)")=0,"Ready","Needs grid entry")</f>
        <v/>
      </c>
      <c r="K276" s="3" t="inlineStr"/>
      <c r="L276" s="3" t="inlineStr">
        <is>
          <t>颜色</t>
        </is>
      </c>
    </row>
    <row r="277" ht="15.75" customHeight="1" s="9">
      <c r="A277" s="7" t="inlineStr">
        <is>
          <t>绍</t>
        </is>
      </c>
      <c r="B277" s="7" t="n">
        <v>2</v>
      </c>
      <c r="C277" s="3" t="inlineStr">
        <is>
          <t>shào</t>
        </is>
      </c>
      <c r="D277" s="3" t="n">
        <v>4</v>
      </c>
      <c r="E277" s="3" t="inlineStr">
        <is>
          <t>SH</t>
        </is>
      </c>
      <c r="F277" s="3" t="inlineStr">
        <is>
          <t>AO</t>
        </is>
      </c>
      <c r="G277" s="3">
        <f>IFERROR(IF(INDEX('HMM Actors'!$B:$B,MATCH(E277,'HMM Actors'!$A:$A,0))="","(not assigned)",INDEX('HMM Actors'!$B:$B,MATCH(E277,'HMM Actors'!$A:$A,0))),"(not assigned)")</f>
        <v/>
      </c>
      <c r="H277" s="3">
        <f>IFERROR(IF(INDEX('HMM Locations'!$B:$B,MATCH(F277,'HMM Locations'!$A:$A,0))="","(not assigned)",INDEX('HMM Locations'!$B:$B,MATCH(F277,'HMM Locations'!$A:$A,0))),"(not assigned)")</f>
        <v/>
      </c>
      <c r="I277" s="3">
        <f>IFERROR(IF(INDEX('HMM Locations'!$C:$G,MATCH(F277,'HMM Locations'!$A:$A,0),D277)="","(not assigned)",INDEX('HMM Locations'!$C:$G,MATCH(F277,'HMM Locations'!$A:$A,0),D277)),"(not assigned)")</f>
        <v/>
      </c>
      <c r="J277" s="3">
        <f>IF(COUNTIF(G277:I277,"(not assigned)")=0,"Ready","Needs grid entry")</f>
        <v/>
      </c>
      <c r="K277" s="3" t="inlineStr"/>
      <c r="L277" s="3" t="inlineStr">
        <is>
          <t>介绍</t>
        </is>
      </c>
    </row>
    <row r="278" ht="15.75" customHeight="1" s="9">
      <c r="A278" s="7" t="inlineStr">
        <is>
          <t>身</t>
        </is>
      </c>
      <c r="B278" s="7" t="n">
        <v>2</v>
      </c>
      <c r="C278" s="3" t="inlineStr">
        <is>
          <t>shēn</t>
        </is>
      </c>
      <c r="D278" s="3" t="n">
        <v>1</v>
      </c>
      <c r="E278" s="3" t="inlineStr">
        <is>
          <t>SH</t>
        </is>
      </c>
      <c r="F278" s="3" t="inlineStr">
        <is>
          <t>(E)N</t>
        </is>
      </c>
      <c r="G278" s="3">
        <f>IFERROR(IF(INDEX('HMM Actors'!$B:$B,MATCH(E278,'HMM Actors'!$A:$A,0))="","(not assigned)",INDEX('HMM Actors'!$B:$B,MATCH(E278,'HMM Actors'!$A:$A,0))),"(not assigned)")</f>
        <v/>
      </c>
      <c r="H278" s="3">
        <f>IFERROR(IF(INDEX('HMM Locations'!$B:$B,MATCH(F278,'HMM Locations'!$A:$A,0))="","(not assigned)",INDEX('HMM Locations'!$B:$B,MATCH(F278,'HMM Locations'!$A:$A,0))),"(not assigned)")</f>
        <v/>
      </c>
      <c r="I278" s="3">
        <f>IFERROR(IF(INDEX('HMM Locations'!$C:$G,MATCH(F278,'HMM Locations'!$A:$A,0),D278)="","(not assigned)",INDEX('HMM Locations'!$C:$G,MATCH(F278,'HMM Locations'!$A:$A,0),D278)),"(not assigned)")</f>
        <v/>
      </c>
      <c r="J278" s="3">
        <f>IF(COUNTIF(G278:I278,"(not assigned)")=0,"Ready","Needs grid entry")</f>
        <v/>
      </c>
      <c r="K278" s="3" t="inlineStr"/>
      <c r="L278" s="3" t="inlineStr">
        <is>
          <t>身体</t>
        </is>
      </c>
    </row>
    <row r="279" ht="15.75" customHeight="1" s="9">
      <c r="A279" s="7" t="inlineStr">
        <is>
          <t>始</t>
        </is>
      </c>
      <c r="B279" s="7" t="n">
        <v>2</v>
      </c>
      <c r="C279" s="3" t="inlineStr">
        <is>
          <t>shǐ</t>
        </is>
      </c>
      <c r="D279" s="3" t="n">
        <v>3</v>
      </c>
      <c r="E279" s="3" t="inlineStr">
        <is>
          <t>SH</t>
        </is>
      </c>
      <c r="F279" s="3" t="inlineStr">
        <is>
          <t>Ø (no final)</t>
        </is>
      </c>
      <c r="G279" s="3">
        <f>IFERROR(IF(INDEX('HMM Actors'!$B:$B,MATCH(E279,'HMM Actors'!$A:$A,0))="","(not assigned)",INDEX('HMM Actors'!$B:$B,MATCH(E279,'HMM Actors'!$A:$A,0))),"(not assigned)")</f>
        <v/>
      </c>
      <c r="H279" s="3">
        <f>IFERROR(IF(INDEX('HMM Locations'!$B:$B,MATCH(F279,'HMM Locations'!$A:$A,0))="","(not assigned)",INDEX('HMM Locations'!$B:$B,MATCH(F279,'HMM Locations'!$A:$A,0))),"(not assigned)")</f>
        <v/>
      </c>
      <c r="I279" s="3">
        <f>IFERROR(IF(INDEX('HMM Locations'!$C:$G,MATCH(F279,'HMM Locations'!$A:$A,0),D279)="","(not assigned)",INDEX('HMM Locations'!$C:$G,MATCH(F279,'HMM Locations'!$A:$A,0),D279)),"(not assigned)")</f>
        <v/>
      </c>
      <c r="J279" s="3">
        <f>IF(COUNTIF(G279:I279,"(not assigned)")=0,"Ready","Needs grid entry")</f>
        <v/>
      </c>
      <c r="K279" s="3" t="inlineStr"/>
      <c r="L279" s="3" t="inlineStr">
        <is>
          <t>开始</t>
        </is>
      </c>
    </row>
    <row r="280" ht="15.75" customHeight="1" s="9">
      <c r="A280" s="7" t="inlineStr">
        <is>
          <t>事</t>
        </is>
      </c>
      <c r="B280" s="7" t="n">
        <v>2</v>
      </c>
      <c r="C280" s="3" t="inlineStr">
        <is>
          <t>shì</t>
        </is>
      </c>
      <c r="D280" s="3" t="n">
        <v>4</v>
      </c>
      <c r="E280" s="3" t="inlineStr">
        <is>
          <t>SH</t>
        </is>
      </c>
      <c r="F280" s="3" t="inlineStr">
        <is>
          <t>Ø (no final)</t>
        </is>
      </c>
      <c r="G280" s="3">
        <f>IFERROR(IF(INDEX('HMM Actors'!$B:$B,MATCH(E280,'HMM Actors'!$A:$A,0))="","(not assigned)",INDEX('HMM Actors'!$B:$B,MATCH(E280,'HMM Actors'!$A:$A,0))),"(not assigned)")</f>
        <v/>
      </c>
      <c r="H280" s="3">
        <f>IFERROR(IF(INDEX('HMM Locations'!$B:$B,MATCH(F280,'HMM Locations'!$A:$A,0))="","(not assigned)",INDEX('HMM Locations'!$B:$B,MATCH(F280,'HMM Locations'!$A:$A,0))),"(not assigned)")</f>
        <v/>
      </c>
      <c r="I280" s="3">
        <f>IFERROR(IF(INDEX('HMM Locations'!$C:$G,MATCH(F280,'HMM Locations'!$A:$A,0),D280)="","(not assigned)",INDEX('HMM Locations'!$C:$G,MATCH(F280,'HMM Locations'!$A:$A,0),D280)),"(not assigned)")</f>
        <v/>
      </c>
      <c r="J280" s="3">
        <f>IF(COUNTIF(G280:I280,"(not assigned)")=0,"Ready","Needs grid entry")</f>
        <v/>
      </c>
      <c r="K280" s="3" t="inlineStr"/>
      <c r="L280" s="3" t="inlineStr">
        <is>
          <t>事情、故事、同事</t>
        </is>
      </c>
    </row>
    <row r="281" ht="15.75" customHeight="1" s="9">
      <c r="A281" s="7" t="inlineStr">
        <is>
          <t>试</t>
        </is>
      </c>
      <c r="B281" s="7" t="n">
        <v>2</v>
      </c>
      <c r="C281" s="3" t="inlineStr">
        <is>
          <t>shì</t>
        </is>
      </c>
      <c r="D281" s="3" t="n">
        <v>4</v>
      </c>
      <c r="E281" s="3" t="inlineStr">
        <is>
          <t>SH</t>
        </is>
      </c>
      <c r="F281" s="3" t="inlineStr">
        <is>
          <t>Ø (no final)</t>
        </is>
      </c>
      <c r="G281" s="3">
        <f>IFERROR(IF(INDEX('HMM Actors'!$B:$B,MATCH(E281,'HMM Actors'!$A:$A,0))="","(not assigned)",INDEX('HMM Actors'!$B:$B,MATCH(E281,'HMM Actors'!$A:$A,0))),"(not assigned)")</f>
        <v/>
      </c>
      <c r="H281" s="3">
        <f>IFERROR(IF(INDEX('HMM Locations'!$B:$B,MATCH(F281,'HMM Locations'!$A:$A,0))="","(not assigned)",INDEX('HMM Locations'!$B:$B,MATCH(F281,'HMM Locations'!$A:$A,0))),"(not assigned)")</f>
        <v/>
      </c>
      <c r="I281" s="3">
        <f>IFERROR(IF(INDEX('HMM Locations'!$C:$G,MATCH(F281,'HMM Locations'!$A:$A,0),D281)="","(not assigned)",INDEX('HMM Locations'!$C:$G,MATCH(F281,'HMM Locations'!$A:$A,0),D281)),"(not assigned)")</f>
        <v/>
      </c>
      <c r="J281" s="3">
        <f>IF(COUNTIF(G281:I281,"(not assigned)")=0,"Ready","Needs grid entry")</f>
        <v/>
      </c>
      <c r="K281" s="3" t="inlineStr"/>
      <c r="L281" s="3" t="inlineStr">
        <is>
          <t>考试、试</t>
        </is>
      </c>
    </row>
    <row r="282" ht="15.75" customHeight="1" s="9">
      <c r="A282" s="7" t="inlineStr">
        <is>
          <t>室</t>
        </is>
      </c>
      <c r="B282" s="7" t="n">
        <v>2</v>
      </c>
      <c r="C282" s="3" t="inlineStr">
        <is>
          <t>shì</t>
        </is>
      </c>
      <c r="D282" s="3" t="n">
        <v>4</v>
      </c>
      <c r="E282" s="3" t="inlineStr">
        <is>
          <t>SH</t>
        </is>
      </c>
      <c r="F282" s="3" t="inlineStr">
        <is>
          <t>Ø (no final)</t>
        </is>
      </c>
      <c r="G282" s="3">
        <f>IFERROR(IF(INDEX('HMM Actors'!$B:$B,MATCH(E282,'HMM Actors'!$A:$A,0))="","(not assigned)",INDEX('HMM Actors'!$B:$B,MATCH(E282,'HMM Actors'!$A:$A,0))),"(not assigned)")</f>
        <v/>
      </c>
      <c r="H282" s="3">
        <f>IFERROR(IF(INDEX('HMM Locations'!$B:$B,MATCH(F282,'HMM Locations'!$A:$A,0))="","(not assigned)",INDEX('HMM Locations'!$B:$B,MATCH(F282,'HMM Locations'!$A:$A,0))),"(not assigned)")</f>
        <v/>
      </c>
      <c r="I282" s="3">
        <f>IFERROR(IF(INDEX('HMM Locations'!$C:$G,MATCH(F282,'HMM Locations'!$A:$A,0),D282)="","(not assigned)",INDEX('HMM Locations'!$C:$G,MATCH(F282,'HMM Locations'!$A:$A,0),D282)),"(not assigned)")</f>
        <v/>
      </c>
      <c r="J282" s="3">
        <f>IF(COUNTIF(G282:I282,"(not assigned)")=0,"Ready","Needs grid entry")</f>
        <v/>
      </c>
      <c r="K282" s="3" t="inlineStr"/>
      <c r="L282" s="3" t="inlineStr">
        <is>
          <t>教室、办公室</t>
        </is>
      </c>
    </row>
    <row r="283" ht="15.75" customHeight="1" s="9">
      <c r="A283" s="7" t="inlineStr">
        <is>
          <t>手</t>
        </is>
      </c>
      <c r="B283" s="7" t="n">
        <v>2</v>
      </c>
      <c r="C283" s="3" t="inlineStr">
        <is>
          <t>shǒu</t>
        </is>
      </c>
      <c r="D283" s="3" t="n">
        <v>3</v>
      </c>
      <c r="E283" s="3" t="inlineStr">
        <is>
          <t>SH</t>
        </is>
      </c>
      <c r="F283" s="3" t="inlineStr">
        <is>
          <t>OU</t>
        </is>
      </c>
      <c r="G283" s="3">
        <f>IFERROR(IF(INDEX('HMM Actors'!$B:$B,MATCH(E283,'HMM Actors'!$A:$A,0))="","(not assigned)",INDEX('HMM Actors'!$B:$B,MATCH(E283,'HMM Actors'!$A:$A,0))),"(not assigned)")</f>
        <v/>
      </c>
      <c r="H283" s="3">
        <f>IFERROR(IF(INDEX('HMM Locations'!$B:$B,MATCH(F283,'HMM Locations'!$A:$A,0))="","(not assigned)",INDEX('HMM Locations'!$B:$B,MATCH(F283,'HMM Locations'!$A:$A,0))),"(not assigned)")</f>
        <v/>
      </c>
      <c r="I283" s="3">
        <f>IFERROR(IF(INDEX('HMM Locations'!$C:$G,MATCH(F283,'HMM Locations'!$A:$A,0),D283)="","(not assigned)",INDEX('HMM Locations'!$C:$G,MATCH(F283,'HMM Locations'!$A:$A,0),D283)),"(not assigned)")</f>
        <v/>
      </c>
      <c r="J283" s="3">
        <f>IF(COUNTIF(G283:I283,"(not assigned)")=0,"Ready","Needs grid entry")</f>
        <v/>
      </c>
      <c r="K283" s="3" t="inlineStr"/>
      <c r="L283" s="3" t="inlineStr">
        <is>
          <t>手表、手机、洗手间</t>
        </is>
      </c>
    </row>
    <row r="284" ht="15.75" customHeight="1" s="9">
      <c r="A284" s="7" t="inlineStr">
        <is>
          <t>司</t>
        </is>
      </c>
      <c r="B284" s="7" t="n">
        <v>2</v>
      </c>
      <c r="C284" s="3" t="inlineStr">
        <is>
          <t>sī</t>
        </is>
      </c>
      <c r="D284" s="3" t="n">
        <v>1</v>
      </c>
      <c r="E284" s="3" t="inlineStr">
        <is>
          <t>S</t>
        </is>
      </c>
      <c r="F284" s="3" t="inlineStr">
        <is>
          <t>Ø (no final)</t>
        </is>
      </c>
      <c r="G284" s="3">
        <f>IFERROR(IF(INDEX('HMM Actors'!$B:$B,MATCH(E284,'HMM Actors'!$A:$A,0))="","(not assigned)",INDEX('HMM Actors'!$B:$B,MATCH(E284,'HMM Actors'!$A:$A,0))),"(not assigned)")</f>
        <v/>
      </c>
      <c r="H284" s="3">
        <f>IFERROR(IF(INDEX('HMM Locations'!$B:$B,MATCH(F284,'HMM Locations'!$A:$A,0))="","(not assigned)",INDEX('HMM Locations'!$B:$B,MATCH(F284,'HMM Locations'!$A:$A,0))),"(not assigned)")</f>
        <v/>
      </c>
      <c r="I284" s="3">
        <f>IFERROR(IF(INDEX('HMM Locations'!$C:$G,MATCH(F284,'HMM Locations'!$A:$A,0),D284)="","(not assigned)",INDEX('HMM Locations'!$C:$G,MATCH(F284,'HMM Locations'!$A:$A,0),D284)),"(not assigned)")</f>
        <v/>
      </c>
      <c r="J284" s="3">
        <f>IF(COUNTIF(G284:I284,"(not assigned)")=0,"Ready","Needs grid entry")</f>
        <v/>
      </c>
      <c r="K284" s="3" t="inlineStr"/>
      <c r="L284" s="3" t="inlineStr">
        <is>
          <t>公司、司机</t>
        </is>
      </c>
    </row>
    <row r="285" ht="15.75" customHeight="1" s="9">
      <c r="A285" s="7" t="inlineStr">
        <is>
          <t>思</t>
        </is>
      </c>
      <c r="B285" s="7" t="n">
        <v>2</v>
      </c>
      <c r="C285" s="3" t="inlineStr">
        <is>
          <t>sī</t>
        </is>
      </c>
      <c r="D285" s="3" t="n">
        <v>1</v>
      </c>
      <c r="E285" s="3" t="inlineStr">
        <is>
          <t>S</t>
        </is>
      </c>
      <c r="F285" s="3" t="inlineStr">
        <is>
          <t>Ø (no final)</t>
        </is>
      </c>
      <c r="G285" s="3">
        <f>IFERROR(IF(INDEX('HMM Actors'!$B:$B,MATCH(E285,'HMM Actors'!$A:$A,0))="","(not assigned)",INDEX('HMM Actors'!$B:$B,MATCH(E285,'HMM Actors'!$A:$A,0))),"(not assigned)")</f>
        <v/>
      </c>
      <c r="H285" s="3">
        <f>IFERROR(IF(INDEX('HMM Locations'!$B:$B,MATCH(F285,'HMM Locations'!$A:$A,0))="","(not assigned)",INDEX('HMM Locations'!$B:$B,MATCH(F285,'HMM Locations'!$A:$A,0))),"(not assigned)")</f>
        <v/>
      </c>
      <c r="I285" s="3">
        <f>IFERROR(IF(INDEX('HMM Locations'!$C:$G,MATCH(F285,'HMM Locations'!$A:$A,0),D285)="","(not assigned)",INDEX('HMM Locations'!$C:$G,MATCH(F285,'HMM Locations'!$A:$A,0),D285)),"(not assigned)")</f>
        <v/>
      </c>
      <c r="J285" s="3">
        <f>IF(COUNTIF(G285:I285,"(not assigned)")=0,"Ready","Needs grid entry")</f>
        <v/>
      </c>
      <c r="K285" s="3" t="inlineStr"/>
      <c r="L285" s="3" t="inlineStr">
        <is>
          <t>意思</t>
        </is>
      </c>
    </row>
    <row r="286" ht="15.75" customHeight="1" s="9">
      <c r="A286" s="7" t="inlineStr">
        <is>
          <t>送</t>
        </is>
      </c>
      <c r="B286" s="7" t="n">
        <v>2</v>
      </c>
      <c r="C286" s="3" t="inlineStr">
        <is>
          <t>sòng</t>
        </is>
      </c>
      <c r="D286" s="3" t="n">
        <v>4</v>
      </c>
      <c r="E286" s="3" t="inlineStr">
        <is>
          <t>S</t>
        </is>
      </c>
      <c r="F286" s="3" t="inlineStr">
        <is>
          <t>ONG</t>
        </is>
      </c>
      <c r="G286" s="3">
        <f>IFERROR(IF(INDEX('HMM Actors'!$B:$B,MATCH(E286,'HMM Actors'!$A:$A,0))="","(not assigned)",INDEX('HMM Actors'!$B:$B,MATCH(E286,'HMM Actors'!$A:$A,0))),"(not assigned)")</f>
        <v/>
      </c>
      <c r="H286" s="3">
        <f>IFERROR(IF(INDEX('HMM Locations'!$B:$B,MATCH(F286,'HMM Locations'!$A:$A,0))="","(not assigned)",INDEX('HMM Locations'!$B:$B,MATCH(F286,'HMM Locations'!$A:$A,0))),"(not assigned)")</f>
        <v/>
      </c>
      <c r="I286" s="3">
        <f>IFERROR(IF(INDEX('HMM Locations'!$C:$G,MATCH(F286,'HMM Locations'!$A:$A,0),D286)="","(not assigned)",INDEX('HMM Locations'!$C:$G,MATCH(F286,'HMM Locations'!$A:$A,0),D286)),"(not assigned)")</f>
        <v/>
      </c>
      <c r="J286" s="3">
        <f>IF(COUNTIF(G286:I286,"(not assigned)")=0,"Ready","Needs grid entry")</f>
        <v/>
      </c>
      <c r="K286" s="3" t="inlineStr"/>
      <c r="L286" s="3" t="inlineStr">
        <is>
          <t>送</t>
        </is>
      </c>
    </row>
    <row r="287" ht="15.75" customHeight="1" s="9">
      <c r="A287" s="7" t="inlineStr">
        <is>
          <t>诉</t>
        </is>
      </c>
      <c r="B287" s="7" t="n">
        <v>2</v>
      </c>
      <c r="C287" s="3" t="inlineStr">
        <is>
          <t>sù</t>
        </is>
      </c>
      <c r="D287" s="3" t="n">
        <v>4</v>
      </c>
      <c r="E287" s="3" t="inlineStr">
        <is>
          <t>S</t>
        </is>
      </c>
      <c r="F287" s="3" t="inlineStr">
        <is>
          <t>U</t>
        </is>
      </c>
      <c r="G287" s="3">
        <f>IFERROR(IF(INDEX('HMM Actors'!$B:$B,MATCH(E287,'HMM Actors'!$A:$A,0))="","(not assigned)",INDEX('HMM Actors'!$B:$B,MATCH(E287,'HMM Actors'!$A:$A,0))),"(not assigned)")</f>
        <v/>
      </c>
      <c r="H287" s="3">
        <f>IFERROR(IF(INDEX('HMM Locations'!$B:$B,MATCH(F287,'HMM Locations'!$A:$A,0))="","(not assigned)",INDEX('HMM Locations'!$B:$B,MATCH(F287,'HMM Locations'!$A:$A,0))),"(not assigned)")</f>
        <v/>
      </c>
      <c r="I287" s="3">
        <f>IFERROR(IF(INDEX('HMM Locations'!$C:$G,MATCH(F287,'HMM Locations'!$A:$A,0),D287)="","(not assigned)",INDEX('HMM Locations'!$C:$G,MATCH(F287,'HMM Locations'!$A:$A,0),D287)),"(not assigned)")</f>
        <v/>
      </c>
      <c r="J287" s="3">
        <f>IF(COUNTIF(G287:I287,"(not assigned)")=0,"Ready","Needs grid entry")</f>
        <v/>
      </c>
      <c r="K287" s="3" t="inlineStr"/>
      <c r="L287" s="3" t="inlineStr">
        <is>
          <t>告诉</t>
        </is>
      </c>
    </row>
    <row r="288" ht="15.75" customHeight="1" s="9">
      <c r="A288" s="7" t="inlineStr">
        <is>
          <t>虽</t>
        </is>
      </c>
      <c r="B288" s="7" t="n">
        <v>2</v>
      </c>
      <c r="C288" s="3" t="inlineStr">
        <is>
          <t>suī</t>
        </is>
      </c>
      <c r="D288" s="3" t="n">
        <v>1</v>
      </c>
      <c r="E288" s="3" t="inlineStr">
        <is>
          <t>S</t>
        </is>
      </c>
      <c r="F288" s="3" t="inlineStr">
        <is>
          <t>UI</t>
        </is>
      </c>
      <c r="G288" s="3">
        <f>IFERROR(IF(INDEX('HMM Actors'!$B:$B,MATCH(E288,'HMM Actors'!$A:$A,0))="","(not assigned)",INDEX('HMM Actors'!$B:$B,MATCH(E288,'HMM Actors'!$A:$A,0))),"(not assigned)")</f>
        <v/>
      </c>
      <c r="H288" s="3">
        <f>IFERROR(IF(INDEX('HMM Locations'!$B:$B,MATCH(F288,'HMM Locations'!$A:$A,0))="","(not assigned)",INDEX('HMM Locations'!$B:$B,MATCH(F288,'HMM Locations'!$A:$A,0))),"(not assigned)")</f>
        <v/>
      </c>
      <c r="I288" s="3">
        <f>IFERROR(IF(INDEX('HMM Locations'!$C:$G,MATCH(F288,'HMM Locations'!$A:$A,0),D288)="","(not assigned)",INDEX('HMM Locations'!$C:$G,MATCH(F288,'HMM Locations'!$A:$A,0),D288)),"(not assigned)")</f>
        <v/>
      </c>
      <c r="J288" s="3">
        <f>IF(COUNTIF(G288:I288,"(not assigned)")=0,"Ready","Needs grid entry")</f>
        <v/>
      </c>
      <c r="K288" s="3" t="inlineStr"/>
      <c r="L288" s="3" t="inlineStr">
        <is>
          <t>虽然…但是…</t>
        </is>
      </c>
    </row>
    <row r="289" ht="15.75" customHeight="1" s="9">
      <c r="A289" s="7" t="inlineStr">
        <is>
          <t>所</t>
        </is>
      </c>
      <c r="B289" s="7" t="n">
        <v>2</v>
      </c>
      <c r="C289" s="3" t="inlineStr">
        <is>
          <t>suǒ</t>
        </is>
      </c>
      <c r="D289" s="3" t="n">
        <v>3</v>
      </c>
      <c r="E289" s="3" t="inlineStr">
        <is>
          <t>S</t>
        </is>
      </c>
      <c r="F289" s="3" t="inlineStr">
        <is>
          <t>UO</t>
        </is>
      </c>
      <c r="G289" s="3">
        <f>IFERROR(IF(INDEX('HMM Actors'!$B:$B,MATCH(E289,'HMM Actors'!$A:$A,0))="","(not assigned)",INDEX('HMM Actors'!$B:$B,MATCH(E289,'HMM Actors'!$A:$A,0))),"(not assigned)")</f>
        <v/>
      </c>
      <c r="H289" s="3">
        <f>IFERROR(IF(INDEX('HMM Locations'!$B:$B,MATCH(F289,'HMM Locations'!$A:$A,0))="","(not assigned)",INDEX('HMM Locations'!$B:$B,MATCH(F289,'HMM Locations'!$A:$A,0))),"(not assigned)")</f>
        <v/>
      </c>
      <c r="I289" s="3">
        <f>IFERROR(IF(INDEX('HMM Locations'!$C:$G,MATCH(F289,'HMM Locations'!$A:$A,0),D289)="","(not assigned)",INDEX('HMM Locations'!$C:$G,MATCH(F289,'HMM Locations'!$A:$A,0),D289)),"(not assigned)")</f>
        <v/>
      </c>
      <c r="J289" s="3">
        <f>IF(COUNTIF(G289:I289,"(not assigned)")=0,"Ready","Needs grid entry")</f>
        <v/>
      </c>
      <c r="K289" s="3" t="inlineStr"/>
      <c r="L289" s="3" t="inlineStr">
        <is>
          <t>因为…所以…</t>
        </is>
      </c>
    </row>
    <row r="290" ht="15.75" customHeight="1" s="9">
      <c r="A290" s="7" t="inlineStr">
        <is>
          <t>它</t>
        </is>
      </c>
      <c r="B290" s="7" t="n">
        <v>2</v>
      </c>
      <c r="C290" s="3" t="inlineStr">
        <is>
          <t>tā</t>
        </is>
      </c>
      <c r="D290" s="3" t="n">
        <v>1</v>
      </c>
      <c r="E290" s="3" t="inlineStr">
        <is>
          <t>T</t>
        </is>
      </c>
      <c r="F290" s="3" t="inlineStr">
        <is>
          <t>A</t>
        </is>
      </c>
      <c r="G290" s="3">
        <f>IFERROR(IF(INDEX('HMM Actors'!$B:$B,MATCH(E290,'HMM Actors'!$A:$A,0))="","(not assigned)",INDEX('HMM Actors'!$B:$B,MATCH(E290,'HMM Actors'!$A:$A,0))),"(not assigned)")</f>
        <v/>
      </c>
      <c r="H290" s="3">
        <f>IFERROR(IF(INDEX('HMM Locations'!$B:$B,MATCH(F290,'HMM Locations'!$A:$A,0))="","(not assigned)",INDEX('HMM Locations'!$B:$B,MATCH(F290,'HMM Locations'!$A:$A,0))),"(not assigned)")</f>
        <v/>
      </c>
      <c r="I290" s="3">
        <f>IFERROR(IF(INDEX('HMM Locations'!$C:$G,MATCH(F290,'HMM Locations'!$A:$A,0),D290)="","(not assigned)",INDEX('HMM Locations'!$C:$G,MATCH(F290,'HMM Locations'!$A:$A,0),D290)),"(not assigned)")</f>
        <v/>
      </c>
      <c r="J290" s="3">
        <f>IF(COUNTIF(G290:I290,"(not assigned)")=0,"Ready","Needs grid entry")</f>
        <v/>
      </c>
      <c r="K290" s="3" t="inlineStr"/>
      <c r="L290" s="3" t="inlineStr">
        <is>
          <t>它</t>
        </is>
      </c>
    </row>
    <row r="291" ht="15.75" customHeight="1" s="9">
      <c r="A291" s="7" t="inlineStr">
        <is>
          <t>踢</t>
        </is>
      </c>
      <c r="B291" s="7" t="n">
        <v>2</v>
      </c>
      <c r="C291" s="3" t="inlineStr">
        <is>
          <t>tī</t>
        </is>
      </c>
      <c r="D291" s="3" t="n">
        <v>1</v>
      </c>
      <c r="E291" s="3" t="inlineStr">
        <is>
          <t>T</t>
        </is>
      </c>
      <c r="F291" s="3" t="inlineStr">
        <is>
          <t>I</t>
        </is>
      </c>
      <c r="G291" s="3">
        <f>IFERROR(IF(INDEX('HMM Actors'!$B:$B,MATCH(E291,'HMM Actors'!$A:$A,0))="","(not assigned)",INDEX('HMM Actors'!$B:$B,MATCH(E291,'HMM Actors'!$A:$A,0))),"(not assigned)")</f>
        <v/>
      </c>
      <c r="H291" s="3">
        <f>IFERROR(IF(INDEX('HMM Locations'!$B:$B,MATCH(F291,'HMM Locations'!$A:$A,0))="","(not assigned)",INDEX('HMM Locations'!$B:$B,MATCH(F291,'HMM Locations'!$A:$A,0))),"(not assigned)")</f>
        <v/>
      </c>
      <c r="I291" s="3">
        <f>IFERROR(IF(INDEX('HMM Locations'!$C:$G,MATCH(F291,'HMM Locations'!$A:$A,0),D291)="","(not assigned)",INDEX('HMM Locations'!$C:$G,MATCH(F291,'HMM Locations'!$A:$A,0),D291)),"(not assigned)")</f>
        <v/>
      </c>
      <c r="J291" s="3">
        <f>IF(COUNTIF(G291:I291,"(not assigned)")=0,"Ready","Needs grid entry")</f>
        <v/>
      </c>
      <c r="K291" s="3" t="inlineStr"/>
      <c r="L291" s="3" t="inlineStr">
        <is>
          <t>踢足球</t>
        </is>
      </c>
    </row>
    <row r="292" ht="15.75" customHeight="1" s="9">
      <c r="A292" s="7" t="inlineStr">
        <is>
          <t>题</t>
        </is>
      </c>
      <c r="B292" s="7" t="n">
        <v>2</v>
      </c>
      <c r="C292" s="3" t="inlineStr">
        <is>
          <t>tí</t>
        </is>
      </c>
      <c r="D292" s="3" t="n">
        <v>2</v>
      </c>
      <c r="E292" s="3" t="inlineStr">
        <is>
          <t>T</t>
        </is>
      </c>
      <c r="F292" s="3" t="inlineStr">
        <is>
          <t>I</t>
        </is>
      </c>
      <c r="G292" s="3">
        <f>IFERROR(IF(INDEX('HMM Actors'!$B:$B,MATCH(E292,'HMM Actors'!$A:$A,0))="","(not assigned)",INDEX('HMM Actors'!$B:$B,MATCH(E292,'HMM Actors'!$A:$A,0))),"(not assigned)")</f>
        <v/>
      </c>
      <c r="H292" s="3">
        <f>IFERROR(IF(INDEX('HMM Locations'!$B:$B,MATCH(F292,'HMM Locations'!$A:$A,0))="","(not assigned)",INDEX('HMM Locations'!$B:$B,MATCH(F292,'HMM Locations'!$A:$A,0))),"(not assigned)")</f>
        <v/>
      </c>
      <c r="I292" s="3">
        <f>IFERROR(IF(INDEX('HMM Locations'!$C:$G,MATCH(F292,'HMM Locations'!$A:$A,0),D292)="","(not assigned)",INDEX('HMM Locations'!$C:$G,MATCH(F292,'HMM Locations'!$A:$A,0),D292)),"(not assigned)")</f>
        <v/>
      </c>
      <c r="J292" s="3">
        <f>IF(COUNTIF(G292:I292,"(not assigned)")=0,"Ready","Needs grid entry")</f>
        <v/>
      </c>
      <c r="K292" s="3" t="inlineStr"/>
      <c r="L292" s="3" t="inlineStr">
        <is>
          <t>题、问题</t>
        </is>
      </c>
    </row>
    <row r="293" ht="15.75" customHeight="1" s="9">
      <c r="A293" s="7" t="inlineStr">
        <is>
          <t>体</t>
        </is>
      </c>
      <c r="B293" s="7" t="n">
        <v>2</v>
      </c>
      <c r="C293" s="3" t="inlineStr">
        <is>
          <t>tǐ</t>
        </is>
      </c>
      <c r="D293" s="3" t="n">
        <v>3</v>
      </c>
      <c r="E293" s="3" t="inlineStr">
        <is>
          <t>T</t>
        </is>
      </c>
      <c r="F293" s="3" t="inlineStr">
        <is>
          <t>I</t>
        </is>
      </c>
      <c r="G293" s="3">
        <f>IFERROR(IF(INDEX('HMM Actors'!$B:$B,MATCH(E293,'HMM Actors'!$A:$A,0))="","(not assigned)",INDEX('HMM Actors'!$B:$B,MATCH(E293,'HMM Actors'!$A:$A,0))),"(not assigned)")</f>
        <v/>
      </c>
      <c r="H293" s="3">
        <f>IFERROR(IF(INDEX('HMM Locations'!$B:$B,MATCH(F293,'HMM Locations'!$A:$A,0))="","(not assigned)",INDEX('HMM Locations'!$B:$B,MATCH(F293,'HMM Locations'!$A:$A,0))),"(not assigned)")</f>
        <v/>
      </c>
      <c r="I293" s="3">
        <f>IFERROR(IF(INDEX('HMM Locations'!$C:$G,MATCH(F293,'HMM Locations'!$A:$A,0),D293)="","(not assigned)",INDEX('HMM Locations'!$C:$G,MATCH(F293,'HMM Locations'!$A:$A,0),D293)),"(not assigned)")</f>
        <v/>
      </c>
      <c r="J293" s="3">
        <f>IF(COUNTIF(G293:I293,"(not assigned)")=0,"Ready","Needs grid entry")</f>
        <v/>
      </c>
      <c r="K293" s="3" t="inlineStr"/>
      <c r="L293" s="3" t="inlineStr">
        <is>
          <t>身体、体育</t>
        </is>
      </c>
    </row>
    <row r="294" ht="15.75" customHeight="1" s="9">
      <c r="A294" s="7" t="inlineStr">
        <is>
          <t>条</t>
        </is>
      </c>
      <c r="B294" s="7" t="n">
        <v>2</v>
      </c>
      <c r="C294" s="3" t="inlineStr">
        <is>
          <t>tiáo</t>
        </is>
      </c>
      <c r="D294" s="3" t="n">
        <v>2</v>
      </c>
      <c r="E294" s="3" t="inlineStr">
        <is>
          <t>T</t>
        </is>
      </c>
      <c r="F294" s="3" t="inlineStr">
        <is>
          <t>IAO</t>
        </is>
      </c>
      <c r="G294" s="3">
        <f>IFERROR(IF(INDEX('HMM Actors'!$B:$B,MATCH(E294,'HMM Actors'!$A:$A,0))="","(not assigned)",INDEX('HMM Actors'!$B:$B,MATCH(E294,'HMM Actors'!$A:$A,0))),"(not assigned)")</f>
        <v/>
      </c>
      <c r="H294" s="3">
        <f>IFERROR(IF(INDEX('HMM Locations'!$B:$B,MATCH(F294,'HMM Locations'!$A:$A,0))="","(not assigned)",INDEX('HMM Locations'!$B:$B,MATCH(F294,'HMM Locations'!$A:$A,0))),"(not assigned)")</f>
        <v/>
      </c>
      <c r="I294" s="3">
        <f>IFERROR(IF(INDEX('HMM Locations'!$C:$G,MATCH(F294,'HMM Locations'!$A:$A,0),D294)="","(not assigned)",INDEX('HMM Locations'!$C:$G,MATCH(F294,'HMM Locations'!$A:$A,0),D294)),"(not assigned)")</f>
        <v/>
      </c>
      <c r="J294" s="3">
        <f>IF(COUNTIF(G294:I294,"(not assigned)")=0,"Ready","Needs grid entry")</f>
        <v/>
      </c>
      <c r="K294" s="3" t="inlineStr"/>
      <c r="L294" s="3" t="inlineStr">
        <is>
          <t>面条、条</t>
        </is>
      </c>
    </row>
    <row r="295" ht="15.75" customHeight="1" s="9">
      <c r="A295" s="7" t="inlineStr">
        <is>
          <t>跳</t>
        </is>
      </c>
      <c r="B295" s="7" t="n">
        <v>2</v>
      </c>
      <c r="C295" s="3" t="inlineStr">
        <is>
          <t>tiào</t>
        </is>
      </c>
      <c r="D295" s="3" t="n">
        <v>4</v>
      </c>
      <c r="E295" s="3" t="inlineStr">
        <is>
          <t>T</t>
        </is>
      </c>
      <c r="F295" s="3" t="inlineStr">
        <is>
          <t>IAO</t>
        </is>
      </c>
      <c r="G295" s="3">
        <f>IFERROR(IF(INDEX('HMM Actors'!$B:$B,MATCH(E295,'HMM Actors'!$A:$A,0))="","(not assigned)",INDEX('HMM Actors'!$B:$B,MATCH(E295,'HMM Actors'!$A:$A,0))),"(not assigned)")</f>
        <v/>
      </c>
      <c r="H295" s="3">
        <f>IFERROR(IF(INDEX('HMM Locations'!$B:$B,MATCH(F295,'HMM Locations'!$A:$A,0))="","(not assigned)",INDEX('HMM Locations'!$B:$B,MATCH(F295,'HMM Locations'!$A:$A,0))),"(not assigned)")</f>
        <v/>
      </c>
      <c r="I295" s="3">
        <f>IFERROR(IF(INDEX('HMM Locations'!$C:$G,MATCH(F295,'HMM Locations'!$A:$A,0),D295)="","(not assigned)",INDEX('HMM Locations'!$C:$G,MATCH(F295,'HMM Locations'!$A:$A,0),D295)),"(not assigned)")</f>
        <v/>
      </c>
      <c r="J295" s="3">
        <f>IF(COUNTIF(G295:I295,"(not assigned)")=0,"Ready","Needs grid entry")</f>
        <v/>
      </c>
      <c r="K295" s="3" t="inlineStr"/>
      <c r="L295" s="3" t="inlineStr">
        <is>
          <t>跳舞</t>
        </is>
      </c>
    </row>
    <row r="296" ht="15.75" customHeight="1" s="9">
      <c r="A296" s="7" t="inlineStr">
        <is>
          <t>外</t>
        </is>
      </c>
      <c r="B296" s="7" t="n">
        <v>2</v>
      </c>
      <c r="C296" s="3" t="inlineStr">
        <is>
          <t>wài</t>
        </is>
      </c>
      <c r="D296" s="3" t="n">
        <v>4</v>
      </c>
      <c r="E296" s="3" t="inlineStr">
        <is>
          <t>W</t>
        </is>
      </c>
      <c r="F296" s="3" t="inlineStr">
        <is>
          <t>AI</t>
        </is>
      </c>
      <c r="G296" s="3">
        <f>IFERROR(IF(INDEX('HMM Actors'!$B:$B,MATCH(E296,'HMM Actors'!$A:$A,0))="","(not assigned)",INDEX('HMM Actors'!$B:$B,MATCH(E296,'HMM Actors'!$A:$A,0))),"(not assigned)")</f>
        <v/>
      </c>
      <c r="H296" s="3">
        <f>IFERROR(IF(INDEX('HMM Locations'!$B:$B,MATCH(F296,'HMM Locations'!$A:$A,0))="","(not assigned)",INDEX('HMM Locations'!$B:$B,MATCH(F296,'HMM Locations'!$A:$A,0))),"(not assigned)")</f>
        <v/>
      </c>
      <c r="I296" s="3">
        <f>IFERROR(IF(INDEX('HMM Locations'!$C:$G,MATCH(F296,'HMM Locations'!$A:$A,0),D296)="","(not assigned)",INDEX('HMM Locations'!$C:$G,MATCH(F296,'HMM Locations'!$A:$A,0),D296)),"(not assigned)")</f>
        <v/>
      </c>
      <c r="J296" s="3">
        <f>IF(COUNTIF(G296:I296,"(not assigned)")=0,"Ready","Needs grid entry")</f>
        <v/>
      </c>
      <c r="K296" s="3" t="inlineStr"/>
      <c r="L296" s="3" t="inlineStr">
        <is>
          <t>外</t>
        </is>
      </c>
    </row>
    <row r="297" ht="15.75" customHeight="1" s="9">
      <c r="A297" s="7" t="inlineStr">
        <is>
          <t>完</t>
        </is>
      </c>
      <c r="B297" s="7" t="n">
        <v>2</v>
      </c>
      <c r="C297" s="3" t="inlineStr">
        <is>
          <t>wán</t>
        </is>
      </c>
      <c r="D297" s="3" t="n">
        <v>2</v>
      </c>
      <c r="E297" s="3" t="inlineStr">
        <is>
          <t>W</t>
        </is>
      </c>
      <c r="F297" s="3" t="inlineStr">
        <is>
          <t>AN</t>
        </is>
      </c>
      <c r="G297" s="3">
        <f>IFERROR(IF(INDEX('HMM Actors'!$B:$B,MATCH(E297,'HMM Actors'!$A:$A,0))="","(not assigned)",INDEX('HMM Actors'!$B:$B,MATCH(E297,'HMM Actors'!$A:$A,0))),"(not assigned)")</f>
        <v/>
      </c>
      <c r="H297" s="3">
        <f>IFERROR(IF(INDEX('HMM Locations'!$B:$B,MATCH(F297,'HMM Locations'!$A:$A,0))="","(not assigned)",INDEX('HMM Locations'!$B:$B,MATCH(F297,'HMM Locations'!$A:$A,0))),"(not assigned)")</f>
        <v/>
      </c>
      <c r="I297" s="3">
        <f>IFERROR(IF(INDEX('HMM Locations'!$C:$G,MATCH(F297,'HMM Locations'!$A:$A,0),D297)="","(not assigned)",INDEX('HMM Locations'!$C:$G,MATCH(F297,'HMM Locations'!$A:$A,0),D297)),"(not assigned)")</f>
        <v/>
      </c>
      <c r="J297" s="3">
        <f>IF(COUNTIF(G297:I297,"(not assigned)")=0,"Ready","Needs grid entry")</f>
        <v/>
      </c>
      <c r="K297" s="3" t="inlineStr"/>
      <c r="L297" s="3" t="inlineStr">
        <is>
          <t>完、完成</t>
        </is>
      </c>
    </row>
    <row r="298" ht="15.75" customHeight="1" s="9">
      <c r="A298" s="7" t="inlineStr">
        <is>
          <t>玩</t>
        </is>
      </c>
      <c r="B298" s="7" t="n">
        <v>2</v>
      </c>
      <c r="C298" s="3" t="inlineStr">
        <is>
          <t>wán</t>
        </is>
      </c>
      <c r="D298" s="3" t="n">
        <v>2</v>
      </c>
      <c r="E298" s="3" t="inlineStr">
        <is>
          <t>W</t>
        </is>
      </c>
      <c r="F298" s="3" t="inlineStr">
        <is>
          <t>AN</t>
        </is>
      </c>
      <c r="G298" s="3">
        <f>IFERROR(IF(INDEX('HMM Actors'!$B:$B,MATCH(E298,'HMM Actors'!$A:$A,0))="","(not assigned)",INDEX('HMM Actors'!$B:$B,MATCH(E298,'HMM Actors'!$A:$A,0))),"(not assigned)")</f>
        <v/>
      </c>
      <c r="H298" s="3">
        <f>IFERROR(IF(INDEX('HMM Locations'!$B:$B,MATCH(F298,'HMM Locations'!$A:$A,0))="","(not assigned)",INDEX('HMM Locations'!$B:$B,MATCH(F298,'HMM Locations'!$A:$A,0))),"(not assigned)")</f>
        <v/>
      </c>
      <c r="I298" s="3">
        <f>IFERROR(IF(INDEX('HMM Locations'!$C:$G,MATCH(F298,'HMM Locations'!$A:$A,0),D298)="","(not assigned)",INDEX('HMM Locations'!$C:$G,MATCH(F298,'HMM Locations'!$A:$A,0),D298)),"(not assigned)")</f>
        <v/>
      </c>
      <c r="J298" s="3">
        <f>IF(COUNTIF(G298:I298,"(not assigned)")=0,"Ready","Needs grid entry")</f>
        <v/>
      </c>
      <c r="K298" s="3" t="inlineStr"/>
      <c r="L298" s="3" t="inlineStr">
        <is>
          <t>玩</t>
        </is>
      </c>
    </row>
    <row r="299" ht="15.75" customHeight="1" s="9">
      <c r="A299" s="7" t="inlineStr">
        <is>
          <t>晚</t>
        </is>
      </c>
      <c r="B299" s="7" t="n">
        <v>2</v>
      </c>
      <c r="C299" s="3" t="inlineStr">
        <is>
          <t>wǎn</t>
        </is>
      </c>
      <c r="D299" s="3" t="n">
        <v>3</v>
      </c>
      <c r="E299" s="3" t="inlineStr">
        <is>
          <t>W</t>
        </is>
      </c>
      <c r="F299" s="3" t="inlineStr">
        <is>
          <t>AN</t>
        </is>
      </c>
      <c r="G299" s="3">
        <f>IFERROR(IF(INDEX('HMM Actors'!$B:$B,MATCH(E299,'HMM Actors'!$A:$A,0))="","(not assigned)",INDEX('HMM Actors'!$B:$B,MATCH(E299,'HMM Actors'!$A:$A,0))),"(not assigned)")</f>
        <v/>
      </c>
      <c r="H299" s="3">
        <f>IFERROR(IF(INDEX('HMM Locations'!$B:$B,MATCH(F299,'HMM Locations'!$A:$A,0))="","(not assigned)",INDEX('HMM Locations'!$B:$B,MATCH(F299,'HMM Locations'!$A:$A,0))),"(not assigned)")</f>
        <v/>
      </c>
      <c r="I299" s="3">
        <f>IFERROR(IF(INDEX('HMM Locations'!$C:$G,MATCH(F299,'HMM Locations'!$A:$A,0),D299)="","(not assigned)",INDEX('HMM Locations'!$C:$G,MATCH(F299,'HMM Locations'!$A:$A,0),D299)),"(not assigned)")</f>
        <v/>
      </c>
      <c r="J299" s="3">
        <f>IF(COUNTIF(G299:I299,"(not assigned)")=0,"Ready","Needs grid entry")</f>
        <v/>
      </c>
      <c r="K299" s="3" t="inlineStr"/>
      <c r="L299" s="3" t="inlineStr">
        <is>
          <t>晚上</t>
        </is>
      </c>
    </row>
    <row r="300" ht="15.75" customHeight="1" s="9">
      <c r="A300" s="7" t="inlineStr">
        <is>
          <t>往</t>
        </is>
      </c>
      <c r="B300" s="7" t="n">
        <v>2</v>
      </c>
      <c r="C300" s="3" t="inlineStr">
        <is>
          <t>wǎng</t>
        </is>
      </c>
      <c r="D300" s="3" t="n">
        <v>3</v>
      </c>
      <c r="E300" s="3" t="inlineStr">
        <is>
          <t>W</t>
        </is>
      </c>
      <c r="F300" s="3" t="inlineStr">
        <is>
          <t>ANG</t>
        </is>
      </c>
      <c r="G300" s="3">
        <f>IFERROR(IF(INDEX('HMM Actors'!$B:$B,MATCH(E300,'HMM Actors'!$A:$A,0))="","(not assigned)",INDEX('HMM Actors'!$B:$B,MATCH(E300,'HMM Actors'!$A:$A,0))),"(not assigned)")</f>
        <v/>
      </c>
      <c r="H300" s="3">
        <f>IFERROR(IF(INDEX('HMM Locations'!$B:$B,MATCH(F300,'HMM Locations'!$A:$A,0))="","(not assigned)",INDEX('HMM Locations'!$B:$B,MATCH(F300,'HMM Locations'!$A:$A,0))),"(not assigned)")</f>
        <v/>
      </c>
      <c r="I300" s="3">
        <f>IFERROR(IF(INDEX('HMM Locations'!$C:$G,MATCH(F300,'HMM Locations'!$A:$A,0),D300)="","(not assigned)",INDEX('HMM Locations'!$C:$G,MATCH(F300,'HMM Locations'!$A:$A,0),D300)),"(not assigned)")</f>
        <v/>
      </c>
      <c r="J300" s="3">
        <f>IF(COUNTIF(G300:I300,"(not assigned)")=0,"Ready","Needs grid entry")</f>
        <v/>
      </c>
      <c r="K300" s="3" t="inlineStr"/>
      <c r="L300" s="3" t="inlineStr">
        <is>
          <t>往</t>
        </is>
      </c>
    </row>
    <row r="301" ht="15.75" customHeight="1" s="9">
      <c r="A301" s="7" t="inlineStr">
        <is>
          <t>望</t>
        </is>
      </c>
      <c r="B301" s="7" t="n">
        <v>2</v>
      </c>
      <c r="C301" s="3" t="inlineStr">
        <is>
          <t>wàng</t>
        </is>
      </c>
      <c r="D301" s="3" t="n">
        <v>4</v>
      </c>
      <c r="E301" s="3" t="inlineStr">
        <is>
          <t>W</t>
        </is>
      </c>
      <c r="F301" s="3" t="inlineStr">
        <is>
          <t>ANG</t>
        </is>
      </c>
      <c r="G301" s="3">
        <f>IFERROR(IF(INDEX('HMM Actors'!$B:$B,MATCH(E301,'HMM Actors'!$A:$A,0))="","(not assigned)",INDEX('HMM Actors'!$B:$B,MATCH(E301,'HMM Actors'!$A:$A,0))),"(not assigned)")</f>
        <v/>
      </c>
      <c r="H301" s="3">
        <f>IFERROR(IF(INDEX('HMM Locations'!$B:$B,MATCH(F301,'HMM Locations'!$A:$A,0))="","(not assigned)",INDEX('HMM Locations'!$B:$B,MATCH(F301,'HMM Locations'!$A:$A,0))),"(not assigned)")</f>
        <v/>
      </c>
      <c r="I301" s="3">
        <f>IFERROR(IF(INDEX('HMM Locations'!$C:$G,MATCH(F301,'HMM Locations'!$A:$A,0),D301)="","(not assigned)",INDEX('HMM Locations'!$C:$G,MATCH(F301,'HMM Locations'!$A:$A,0),D301)),"(not assigned)")</f>
        <v/>
      </c>
      <c r="J301" s="3">
        <f>IF(COUNTIF(G301:I301,"(not assigned)")=0,"Ready","Needs grid entry")</f>
        <v/>
      </c>
      <c r="K301" s="3" t="inlineStr"/>
      <c r="L301" s="3" t="inlineStr">
        <is>
          <t>希望</t>
        </is>
      </c>
    </row>
    <row r="302" ht="15.75" customHeight="1" s="9">
      <c r="A302" s="7" t="inlineStr">
        <is>
          <t>为</t>
        </is>
      </c>
      <c r="B302" s="7" t="n">
        <v>2</v>
      </c>
      <c r="C302" s="3" t="inlineStr">
        <is>
          <t>wèi</t>
        </is>
      </c>
      <c r="D302" s="3" t="n">
        <v>4</v>
      </c>
      <c r="E302" s="3" t="inlineStr">
        <is>
          <t>W</t>
        </is>
      </c>
      <c r="F302" s="3" t="inlineStr">
        <is>
          <t>EI</t>
        </is>
      </c>
      <c r="G302" s="3">
        <f>IFERROR(IF(INDEX('HMM Actors'!$B:$B,MATCH(E302,'HMM Actors'!$A:$A,0))="","(not assigned)",INDEX('HMM Actors'!$B:$B,MATCH(E302,'HMM Actors'!$A:$A,0))),"(not assigned)")</f>
        <v/>
      </c>
      <c r="H302" s="3">
        <f>IFERROR(IF(INDEX('HMM Locations'!$B:$B,MATCH(F302,'HMM Locations'!$A:$A,0))="","(not assigned)",INDEX('HMM Locations'!$B:$B,MATCH(F302,'HMM Locations'!$A:$A,0))),"(not assigned)")</f>
        <v/>
      </c>
      <c r="I302" s="3">
        <f>IFERROR(IF(INDEX('HMM Locations'!$C:$G,MATCH(F302,'HMM Locations'!$A:$A,0),D302)="","(not assigned)",INDEX('HMM Locations'!$C:$G,MATCH(F302,'HMM Locations'!$A:$A,0),D302)),"(not assigned)")</f>
        <v/>
      </c>
      <c r="J302" s="3">
        <f>IF(COUNTIF(G302:I302,"(not assigned)")=0,"Ready","Needs grid entry")</f>
        <v/>
      </c>
      <c r="K302" s="3" t="inlineStr">
        <is>
          <t>wéi</t>
        </is>
      </c>
      <c r="L302" s="3" t="inlineStr">
        <is>
          <t>为什么、因为…所以…、认为、为</t>
        </is>
      </c>
    </row>
    <row r="303" ht="15.75" customHeight="1" s="9">
      <c r="A303" s="7" t="inlineStr">
        <is>
          <t>问</t>
        </is>
      </c>
      <c r="B303" s="7" t="n">
        <v>2</v>
      </c>
      <c r="C303" s="3" t="inlineStr">
        <is>
          <t>wèn</t>
        </is>
      </c>
      <c r="D303" s="3" t="n">
        <v>4</v>
      </c>
      <c r="E303" s="3" t="inlineStr">
        <is>
          <t>W</t>
        </is>
      </c>
      <c r="F303" s="3" t="inlineStr">
        <is>
          <t>(E)N</t>
        </is>
      </c>
      <c r="G303" s="3">
        <f>IFERROR(IF(INDEX('HMM Actors'!$B:$B,MATCH(E303,'HMM Actors'!$A:$A,0))="","(not assigned)",INDEX('HMM Actors'!$B:$B,MATCH(E303,'HMM Actors'!$A:$A,0))),"(not assigned)")</f>
        <v/>
      </c>
      <c r="H303" s="3">
        <f>IFERROR(IF(INDEX('HMM Locations'!$B:$B,MATCH(F303,'HMM Locations'!$A:$A,0))="","(not assigned)",INDEX('HMM Locations'!$B:$B,MATCH(F303,'HMM Locations'!$A:$A,0))),"(not assigned)")</f>
        <v/>
      </c>
      <c r="I303" s="3">
        <f>IFERROR(IF(INDEX('HMM Locations'!$C:$G,MATCH(F303,'HMM Locations'!$A:$A,0),D303)="","(not assigned)",INDEX('HMM Locations'!$C:$G,MATCH(F303,'HMM Locations'!$A:$A,0),D303)),"(not assigned)")</f>
        <v/>
      </c>
      <c r="J303" s="3">
        <f>IF(COUNTIF(G303:I303,"(not assigned)")=0,"Ready","Needs grid entry")</f>
        <v/>
      </c>
      <c r="K303" s="3" t="inlineStr"/>
      <c r="L303" s="3" t="inlineStr">
        <is>
          <t>问、问题</t>
        </is>
      </c>
    </row>
    <row r="304" ht="15.75" customHeight="1" s="9">
      <c r="A304" s="7" t="inlineStr">
        <is>
          <t>舞</t>
        </is>
      </c>
      <c r="B304" s="7" t="n">
        <v>2</v>
      </c>
      <c r="C304" s="3" t="inlineStr">
        <is>
          <t>wǔ</t>
        </is>
      </c>
      <c r="D304" s="3" t="n">
        <v>3</v>
      </c>
      <c r="E304" s="3" t="inlineStr">
        <is>
          <t>W</t>
        </is>
      </c>
      <c r="F304" s="3" t="inlineStr">
        <is>
          <t>U</t>
        </is>
      </c>
      <c r="G304" s="3">
        <f>IFERROR(IF(INDEX('HMM Actors'!$B:$B,MATCH(E304,'HMM Actors'!$A:$A,0))="","(not assigned)",INDEX('HMM Actors'!$B:$B,MATCH(E304,'HMM Actors'!$A:$A,0))),"(not assigned)")</f>
        <v/>
      </c>
      <c r="H304" s="3">
        <f>IFERROR(IF(INDEX('HMM Locations'!$B:$B,MATCH(F304,'HMM Locations'!$A:$A,0))="","(not assigned)",INDEX('HMM Locations'!$B:$B,MATCH(F304,'HMM Locations'!$A:$A,0))),"(not assigned)")</f>
        <v/>
      </c>
      <c r="I304" s="3">
        <f>IFERROR(IF(INDEX('HMM Locations'!$C:$G,MATCH(F304,'HMM Locations'!$A:$A,0),D304)="","(not assigned)",INDEX('HMM Locations'!$C:$G,MATCH(F304,'HMM Locations'!$A:$A,0),D304)),"(not assigned)")</f>
        <v/>
      </c>
      <c r="J304" s="3">
        <f>IF(COUNTIF(G304:I304,"(not assigned)")=0,"Ready","Needs grid entry")</f>
        <v/>
      </c>
      <c r="K304" s="3" t="inlineStr"/>
      <c r="L304" s="3" t="inlineStr">
        <is>
          <t>跳舞</t>
        </is>
      </c>
    </row>
    <row r="305" ht="15.75" customHeight="1" s="9">
      <c r="A305" s="7" t="inlineStr">
        <is>
          <t>务</t>
        </is>
      </c>
      <c r="B305" s="7" t="n">
        <v>2</v>
      </c>
      <c r="C305" s="3" t="inlineStr">
        <is>
          <t>wù</t>
        </is>
      </c>
      <c r="D305" s="3" t="n">
        <v>4</v>
      </c>
      <c r="E305" s="3" t="inlineStr">
        <is>
          <t>W</t>
        </is>
      </c>
      <c r="F305" s="3" t="inlineStr">
        <is>
          <t>U</t>
        </is>
      </c>
      <c r="G305" s="3">
        <f>IFERROR(IF(INDEX('HMM Actors'!$B:$B,MATCH(E305,'HMM Actors'!$A:$A,0))="","(not assigned)",INDEX('HMM Actors'!$B:$B,MATCH(E305,'HMM Actors'!$A:$A,0))),"(not assigned)")</f>
        <v/>
      </c>
      <c r="H305" s="3">
        <f>IFERROR(IF(INDEX('HMM Locations'!$B:$B,MATCH(F305,'HMM Locations'!$A:$A,0))="","(not assigned)",INDEX('HMM Locations'!$B:$B,MATCH(F305,'HMM Locations'!$A:$A,0))),"(not assigned)")</f>
        <v/>
      </c>
      <c r="I305" s="3">
        <f>IFERROR(IF(INDEX('HMM Locations'!$C:$G,MATCH(F305,'HMM Locations'!$A:$A,0),D305)="","(not assigned)",INDEX('HMM Locations'!$C:$G,MATCH(F305,'HMM Locations'!$A:$A,0),D305)),"(not assigned)")</f>
        <v/>
      </c>
      <c r="J305" s="3">
        <f>IF(COUNTIF(G305:I305,"(not assigned)")=0,"Ready","Needs grid entry")</f>
        <v/>
      </c>
      <c r="K305" s="3" t="inlineStr"/>
      <c r="L305" s="3" t="inlineStr">
        <is>
          <t>服务员</t>
        </is>
      </c>
    </row>
    <row r="306" ht="15.75" customHeight="1" s="9">
      <c r="A306" s="7" t="inlineStr">
        <is>
          <t>希</t>
        </is>
      </c>
      <c r="B306" s="7" t="n">
        <v>2</v>
      </c>
      <c r="C306" s="3" t="inlineStr">
        <is>
          <t>xī</t>
        </is>
      </c>
      <c r="D306" s="3" t="n">
        <v>1</v>
      </c>
      <c r="E306" s="3" t="inlineStr">
        <is>
          <t>X</t>
        </is>
      </c>
      <c r="F306" s="3" t="inlineStr">
        <is>
          <t>I</t>
        </is>
      </c>
      <c r="G306" s="3">
        <f>IFERROR(IF(INDEX('HMM Actors'!$B:$B,MATCH(E306,'HMM Actors'!$A:$A,0))="","(not assigned)",INDEX('HMM Actors'!$B:$B,MATCH(E306,'HMM Actors'!$A:$A,0))),"(not assigned)")</f>
        <v/>
      </c>
      <c r="H306" s="3">
        <f>IFERROR(IF(INDEX('HMM Locations'!$B:$B,MATCH(F306,'HMM Locations'!$A:$A,0))="","(not assigned)",INDEX('HMM Locations'!$B:$B,MATCH(F306,'HMM Locations'!$A:$A,0))),"(not assigned)")</f>
        <v/>
      </c>
      <c r="I306" s="3">
        <f>IFERROR(IF(INDEX('HMM Locations'!$C:$G,MATCH(F306,'HMM Locations'!$A:$A,0),D306)="","(not assigned)",INDEX('HMM Locations'!$C:$G,MATCH(F306,'HMM Locations'!$A:$A,0),D306)),"(not assigned)")</f>
        <v/>
      </c>
      <c r="J306" s="3">
        <f>IF(COUNTIF(G306:I306,"(not assigned)")=0,"Ready","Needs grid entry")</f>
        <v/>
      </c>
      <c r="K306" s="3" t="inlineStr"/>
      <c r="L306" s="3" t="inlineStr">
        <is>
          <t>希望</t>
        </is>
      </c>
    </row>
    <row r="307" ht="15.75" customHeight="1" s="9">
      <c r="A307" s="7" t="inlineStr">
        <is>
          <t>息</t>
        </is>
      </c>
      <c r="B307" s="7" t="n">
        <v>2</v>
      </c>
      <c r="C307" s="3" t="inlineStr">
        <is>
          <t>xī</t>
        </is>
      </c>
      <c r="D307" s="3" t="n">
        <v>1</v>
      </c>
      <c r="E307" s="3" t="inlineStr">
        <is>
          <t>X</t>
        </is>
      </c>
      <c r="F307" s="3" t="inlineStr">
        <is>
          <t>I</t>
        </is>
      </c>
      <c r="G307" s="3">
        <f>IFERROR(IF(INDEX('HMM Actors'!$B:$B,MATCH(E307,'HMM Actors'!$A:$A,0))="","(not assigned)",INDEX('HMM Actors'!$B:$B,MATCH(E307,'HMM Actors'!$A:$A,0))),"(not assigned)")</f>
        <v/>
      </c>
      <c r="H307" s="3">
        <f>IFERROR(IF(INDEX('HMM Locations'!$B:$B,MATCH(F307,'HMM Locations'!$A:$A,0))="","(not assigned)",INDEX('HMM Locations'!$B:$B,MATCH(F307,'HMM Locations'!$A:$A,0))),"(not assigned)")</f>
        <v/>
      </c>
      <c r="I307" s="3">
        <f>IFERROR(IF(INDEX('HMM Locations'!$C:$G,MATCH(F307,'HMM Locations'!$A:$A,0),D307)="","(not assigned)",INDEX('HMM Locations'!$C:$G,MATCH(F307,'HMM Locations'!$A:$A,0),D307)),"(not assigned)")</f>
        <v/>
      </c>
      <c r="J307" s="3">
        <f>IF(COUNTIF(G307:I307,"(not assigned)")=0,"Ready","Needs grid entry")</f>
        <v/>
      </c>
      <c r="K307" s="3" t="inlineStr"/>
      <c r="L307" s="3" t="inlineStr">
        <is>
          <t>休息</t>
        </is>
      </c>
    </row>
    <row r="308" ht="15.75" customHeight="1" s="9">
      <c r="A308" s="7" t="inlineStr">
        <is>
          <t>洗</t>
        </is>
      </c>
      <c r="B308" s="7" t="n">
        <v>2</v>
      </c>
      <c r="C308" s="3" t="inlineStr">
        <is>
          <t>xǐ</t>
        </is>
      </c>
      <c r="D308" s="3" t="n">
        <v>3</v>
      </c>
      <c r="E308" s="3" t="inlineStr">
        <is>
          <t>X</t>
        </is>
      </c>
      <c r="F308" s="3" t="inlineStr">
        <is>
          <t>I</t>
        </is>
      </c>
      <c r="G308" s="3">
        <f>IFERROR(IF(INDEX('HMM Actors'!$B:$B,MATCH(E308,'HMM Actors'!$A:$A,0))="","(not assigned)",INDEX('HMM Actors'!$B:$B,MATCH(E308,'HMM Actors'!$A:$A,0))),"(not assigned)")</f>
        <v/>
      </c>
      <c r="H308" s="3">
        <f>IFERROR(IF(INDEX('HMM Locations'!$B:$B,MATCH(F308,'HMM Locations'!$A:$A,0))="","(not assigned)",INDEX('HMM Locations'!$B:$B,MATCH(F308,'HMM Locations'!$A:$A,0))),"(not assigned)")</f>
        <v/>
      </c>
      <c r="I308" s="3">
        <f>IFERROR(IF(INDEX('HMM Locations'!$C:$G,MATCH(F308,'HMM Locations'!$A:$A,0),D308)="","(not assigned)",INDEX('HMM Locations'!$C:$G,MATCH(F308,'HMM Locations'!$A:$A,0),D308)),"(not assigned)")</f>
        <v/>
      </c>
      <c r="J308" s="3">
        <f>IF(COUNTIF(G308:I308,"(not assigned)")=0,"Ready","Needs grid entry")</f>
        <v/>
      </c>
      <c r="K308" s="3" t="inlineStr"/>
      <c r="L308" s="3" t="inlineStr">
        <is>
          <t>洗、洗手间、洗澡</t>
        </is>
      </c>
    </row>
    <row r="309" ht="15.75" customHeight="1" s="9">
      <c r="A309" s="7" t="inlineStr">
        <is>
          <t>笑</t>
        </is>
      </c>
      <c r="B309" s="7" t="n">
        <v>2</v>
      </c>
      <c r="C309" s="3" t="inlineStr">
        <is>
          <t>xiào</t>
        </is>
      </c>
      <c r="D309" s="3" t="n">
        <v>4</v>
      </c>
      <c r="E309" s="3" t="inlineStr">
        <is>
          <t>X</t>
        </is>
      </c>
      <c r="F309" s="3" t="inlineStr">
        <is>
          <t>IAO</t>
        </is>
      </c>
      <c r="G309" s="3">
        <f>IFERROR(IF(INDEX('HMM Actors'!$B:$B,MATCH(E309,'HMM Actors'!$A:$A,0))="","(not assigned)",INDEX('HMM Actors'!$B:$B,MATCH(E309,'HMM Actors'!$A:$A,0))),"(not assigned)")</f>
        <v/>
      </c>
      <c r="H309" s="3">
        <f>IFERROR(IF(INDEX('HMM Locations'!$B:$B,MATCH(F309,'HMM Locations'!$A:$A,0))="","(not assigned)",INDEX('HMM Locations'!$B:$B,MATCH(F309,'HMM Locations'!$A:$A,0))),"(not assigned)")</f>
        <v/>
      </c>
      <c r="I309" s="3">
        <f>IFERROR(IF(INDEX('HMM Locations'!$C:$G,MATCH(F309,'HMM Locations'!$A:$A,0),D309)="","(not assigned)",INDEX('HMM Locations'!$C:$G,MATCH(F309,'HMM Locations'!$A:$A,0),D309)),"(not assigned)")</f>
        <v/>
      </c>
      <c r="J309" s="3">
        <f>IF(COUNTIF(G309:I309,"(not assigned)")=0,"Ready","Needs grid entry")</f>
        <v/>
      </c>
      <c r="K309" s="3" t="inlineStr"/>
      <c r="L309" s="3" t="inlineStr">
        <is>
          <t>笑</t>
        </is>
      </c>
    </row>
    <row r="310" ht="15.75" customHeight="1" s="9">
      <c r="A310" s="7" t="inlineStr">
        <is>
          <t>新</t>
        </is>
      </c>
      <c r="B310" s="7" t="n">
        <v>2</v>
      </c>
      <c r="C310" s="3" t="inlineStr">
        <is>
          <t>xīn</t>
        </is>
      </c>
      <c r="D310" s="3" t="n">
        <v>1</v>
      </c>
      <c r="E310" s="3" t="inlineStr">
        <is>
          <t>X</t>
        </is>
      </c>
      <c r="F310" s="3" t="inlineStr">
        <is>
          <t>IN</t>
        </is>
      </c>
      <c r="G310" s="3">
        <f>IFERROR(IF(INDEX('HMM Actors'!$B:$B,MATCH(E310,'HMM Actors'!$A:$A,0))="","(not assigned)",INDEX('HMM Actors'!$B:$B,MATCH(E310,'HMM Actors'!$A:$A,0))),"(not assigned)")</f>
        <v/>
      </c>
      <c r="H310" s="3">
        <f>IFERROR(IF(INDEX('HMM Locations'!$B:$B,MATCH(F310,'HMM Locations'!$A:$A,0))="","(not assigned)",INDEX('HMM Locations'!$B:$B,MATCH(F310,'HMM Locations'!$A:$A,0))),"(not assigned)")</f>
        <v/>
      </c>
      <c r="I310" s="3">
        <f>IFERROR(IF(INDEX('HMM Locations'!$C:$G,MATCH(F310,'HMM Locations'!$A:$A,0),D310)="","(not assigned)",INDEX('HMM Locations'!$C:$G,MATCH(F310,'HMM Locations'!$A:$A,0),D310)),"(not assigned)")</f>
        <v/>
      </c>
      <c r="J310" s="3">
        <f>IF(COUNTIF(G310:I310,"(not assigned)")=0,"Ready","Needs grid entry")</f>
        <v/>
      </c>
      <c r="K310" s="3" t="inlineStr"/>
      <c r="L310" s="3" t="inlineStr">
        <is>
          <t>新、新闻、新鲜</t>
        </is>
      </c>
    </row>
    <row r="311" ht="15.75" customHeight="1" s="9">
      <c r="A311" s="7" t="inlineStr">
        <is>
          <t>姓</t>
        </is>
      </c>
      <c r="B311" s="7" t="n">
        <v>2</v>
      </c>
      <c r="C311" s="3" t="inlineStr">
        <is>
          <t>xìng</t>
        </is>
      </c>
      <c r="D311" s="3" t="n">
        <v>4</v>
      </c>
      <c r="E311" s="3" t="inlineStr">
        <is>
          <t>X</t>
        </is>
      </c>
      <c r="F311" s="3" t="inlineStr">
        <is>
          <t>ING</t>
        </is>
      </c>
      <c r="G311" s="3">
        <f>IFERROR(IF(INDEX('HMM Actors'!$B:$B,MATCH(E311,'HMM Actors'!$A:$A,0))="","(not assigned)",INDEX('HMM Actors'!$B:$B,MATCH(E311,'HMM Actors'!$A:$A,0))),"(not assigned)")</f>
        <v/>
      </c>
      <c r="H311" s="3">
        <f>IFERROR(IF(INDEX('HMM Locations'!$B:$B,MATCH(F311,'HMM Locations'!$A:$A,0))="","(not assigned)",INDEX('HMM Locations'!$B:$B,MATCH(F311,'HMM Locations'!$A:$A,0))),"(not assigned)")</f>
        <v/>
      </c>
      <c r="I311" s="3">
        <f>IFERROR(IF(INDEX('HMM Locations'!$C:$G,MATCH(F311,'HMM Locations'!$A:$A,0),D311)="","(not assigned)",INDEX('HMM Locations'!$C:$G,MATCH(F311,'HMM Locations'!$A:$A,0),D311)),"(not assigned)")</f>
        <v/>
      </c>
      <c r="J311" s="3">
        <f>IF(COUNTIF(G311:I311,"(not assigned)")=0,"Ready","Needs grid entry")</f>
        <v/>
      </c>
      <c r="K311" s="3" t="inlineStr"/>
      <c r="L311" s="3" t="inlineStr">
        <is>
          <t>姓</t>
        </is>
      </c>
    </row>
    <row r="312" ht="15.75" customHeight="1" s="9">
      <c r="A312" s="7" t="inlineStr">
        <is>
          <t>休</t>
        </is>
      </c>
      <c r="B312" s="7" t="n">
        <v>2</v>
      </c>
      <c r="C312" s="3" t="inlineStr">
        <is>
          <t>xiū</t>
        </is>
      </c>
      <c r="D312" s="3" t="n">
        <v>1</v>
      </c>
      <c r="E312" s="3" t="inlineStr">
        <is>
          <t>X</t>
        </is>
      </c>
      <c r="F312" s="3" t="inlineStr">
        <is>
          <t>IU</t>
        </is>
      </c>
      <c r="G312" s="3">
        <f>IFERROR(IF(INDEX('HMM Actors'!$B:$B,MATCH(E312,'HMM Actors'!$A:$A,0))="","(not assigned)",INDEX('HMM Actors'!$B:$B,MATCH(E312,'HMM Actors'!$A:$A,0))),"(not assigned)")</f>
        <v/>
      </c>
      <c r="H312" s="3">
        <f>IFERROR(IF(INDEX('HMM Locations'!$B:$B,MATCH(F312,'HMM Locations'!$A:$A,0))="","(not assigned)",INDEX('HMM Locations'!$B:$B,MATCH(F312,'HMM Locations'!$A:$A,0))),"(not assigned)")</f>
        <v/>
      </c>
      <c r="I312" s="3">
        <f>IFERROR(IF(INDEX('HMM Locations'!$C:$G,MATCH(F312,'HMM Locations'!$A:$A,0),D312)="","(not assigned)",INDEX('HMM Locations'!$C:$G,MATCH(F312,'HMM Locations'!$A:$A,0),D312)),"(not assigned)")</f>
        <v/>
      </c>
      <c r="J312" s="3">
        <f>IF(COUNTIF(G312:I312,"(not assigned)")=0,"Ready","Needs grid entry")</f>
        <v/>
      </c>
      <c r="K312" s="3" t="inlineStr"/>
      <c r="L312" s="3" t="inlineStr">
        <is>
          <t>休息</t>
        </is>
      </c>
    </row>
    <row r="313" ht="15.75" customHeight="1" s="9">
      <c r="A313" s="7" t="inlineStr">
        <is>
          <t>雪</t>
        </is>
      </c>
      <c r="B313" s="7" t="n">
        <v>2</v>
      </c>
      <c r="C313" s="3" t="inlineStr">
        <is>
          <t>xuě</t>
        </is>
      </c>
      <c r="D313" s="3" t="n">
        <v>3</v>
      </c>
      <c r="E313" s="3" t="inlineStr">
        <is>
          <t>X</t>
        </is>
      </c>
      <c r="F313" s="3" t="inlineStr">
        <is>
          <t>UE</t>
        </is>
      </c>
      <c r="G313" s="3">
        <f>IFERROR(IF(INDEX('HMM Actors'!$B:$B,MATCH(E313,'HMM Actors'!$A:$A,0))="","(not assigned)",INDEX('HMM Actors'!$B:$B,MATCH(E313,'HMM Actors'!$A:$A,0))),"(not assigned)")</f>
        <v/>
      </c>
      <c r="H313" s="3">
        <f>IFERROR(IF(INDEX('HMM Locations'!$B:$B,MATCH(F313,'HMM Locations'!$A:$A,0))="","(not assigned)",INDEX('HMM Locations'!$B:$B,MATCH(F313,'HMM Locations'!$A:$A,0))),"(not assigned)")</f>
        <v/>
      </c>
      <c r="I313" s="3">
        <f>IFERROR(IF(INDEX('HMM Locations'!$C:$G,MATCH(F313,'HMM Locations'!$A:$A,0),D313)="","(not assigned)",INDEX('HMM Locations'!$C:$G,MATCH(F313,'HMM Locations'!$A:$A,0),D313)),"(not assigned)")</f>
        <v/>
      </c>
      <c r="J313" s="3">
        <f>IF(COUNTIF(G313:I313,"(not assigned)")=0,"Ready","Needs grid entry")</f>
        <v/>
      </c>
      <c r="K313" s="3" t="inlineStr"/>
      <c r="L313" s="3" t="inlineStr">
        <is>
          <t>雪</t>
        </is>
      </c>
    </row>
    <row r="314" ht="15.75" customHeight="1" s="9">
      <c r="A314" s="7" t="inlineStr">
        <is>
          <t>颜</t>
        </is>
      </c>
      <c r="B314" s="7" t="n">
        <v>2</v>
      </c>
      <c r="C314" s="3" t="inlineStr">
        <is>
          <t>yán</t>
        </is>
      </c>
      <c r="D314" s="3" t="n">
        <v>2</v>
      </c>
      <c r="E314" s="3" t="inlineStr">
        <is>
          <t>Y</t>
        </is>
      </c>
      <c r="F314" s="3" t="inlineStr">
        <is>
          <t>AN</t>
        </is>
      </c>
      <c r="G314" s="3">
        <f>IFERROR(IF(INDEX('HMM Actors'!$B:$B,MATCH(E314,'HMM Actors'!$A:$A,0))="","(not assigned)",INDEX('HMM Actors'!$B:$B,MATCH(E314,'HMM Actors'!$A:$A,0))),"(not assigned)")</f>
        <v/>
      </c>
      <c r="H314" s="3">
        <f>IFERROR(IF(INDEX('HMM Locations'!$B:$B,MATCH(F314,'HMM Locations'!$A:$A,0))="","(not assigned)",INDEX('HMM Locations'!$B:$B,MATCH(F314,'HMM Locations'!$A:$A,0))),"(not assigned)")</f>
        <v/>
      </c>
      <c r="I314" s="3">
        <f>IFERROR(IF(INDEX('HMM Locations'!$C:$G,MATCH(F314,'HMM Locations'!$A:$A,0),D314)="","(not assigned)",INDEX('HMM Locations'!$C:$G,MATCH(F314,'HMM Locations'!$A:$A,0),D314)),"(not assigned)")</f>
        <v/>
      </c>
      <c r="J314" s="3">
        <f>IF(COUNTIF(G314:I314,"(not assigned)")=0,"Ready","Needs grid entry")</f>
        <v/>
      </c>
      <c r="K314" s="3" t="inlineStr"/>
      <c r="L314" s="3" t="inlineStr">
        <is>
          <t>颜色</t>
        </is>
      </c>
    </row>
    <row r="315" ht="15.75" customHeight="1" s="9">
      <c r="A315" s="7" t="inlineStr">
        <is>
          <t>眼</t>
        </is>
      </c>
      <c r="B315" s="7" t="n">
        <v>2</v>
      </c>
      <c r="C315" s="3" t="inlineStr">
        <is>
          <t>yǎn</t>
        </is>
      </c>
      <c r="D315" s="3" t="n">
        <v>3</v>
      </c>
      <c r="E315" s="3" t="inlineStr">
        <is>
          <t>Y</t>
        </is>
      </c>
      <c r="F315" s="3" t="inlineStr">
        <is>
          <t>AN</t>
        </is>
      </c>
      <c r="G315" s="3">
        <f>IFERROR(IF(INDEX('HMM Actors'!$B:$B,MATCH(E315,'HMM Actors'!$A:$A,0))="","(not assigned)",INDEX('HMM Actors'!$B:$B,MATCH(E315,'HMM Actors'!$A:$A,0))),"(not assigned)")</f>
        <v/>
      </c>
      <c r="H315" s="3">
        <f>IFERROR(IF(INDEX('HMM Locations'!$B:$B,MATCH(F315,'HMM Locations'!$A:$A,0))="","(not assigned)",INDEX('HMM Locations'!$B:$B,MATCH(F315,'HMM Locations'!$A:$A,0))),"(not assigned)")</f>
        <v/>
      </c>
      <c r="I315" s="3">
        <f>IFERROR(IF(INDEX('HMM Locations'!$C:$G,MATCH(F315,'HMM Locations'!$A:$A,0),D315)="","(not assigned)",INDEX('HMM Locations'!$C:$G,MATCH(F315,'HMM Locations'!$A:$A,0),D315)),"(not assigned)")</f>
        <v/>
      </c>
      <c r="J315" s="3">
        <f>IF(COUNTIF(G315:I315,"(not assigned)")=0,"Ready","Needs grid entry")</f>
        <v/>
      </c>
      <c r="K315" s="3" t="inlineStr"/>
      <c r="L315" s="3" t="inlineStr">
        <is>
          <t>眼睛</t>
        </is>
      </c>
    </row>
    <row r="316" ht="15.75" customHeight="1" s="9">
      <c r="A316" s="7" t="inlineStr">
        <is>
          <t>羊</t>
        </is>
      </c>
      <c r="B316" s="7" t="n">
        <v>2</v>
      </c>
      <c r="C316" s="3" t="inlineStr">
        <is>
          <t>yáng</t>
        </is>
      </c>
      <c r="D316" s="3" t="n">
        <v>2</v>
      </c>
      <c r="E316" s="3" t="inlineStr">
        <is>
          <t>Y</t>
        </is>
      </c>
      <c r="F316" s="3" t="inlineStr">
        <is>
          <t>ANG</t>
        </is>
      </c>
      <c r="G316" s="3">
        <f>IFERROR(IF(INDEX('HMM Actors'!$B:$B,MATCH(E316,'HMM Actors'!$A:$A,0))="","(not assigned)",INDEX('HMM Actors'!$B:$B,MATCH(E316,'HMM Actors'!$A:$A,0))),"(not assigned)")</f>
        <v/>
      </c>
      <c r="H316" s="3">
        <f>IFERROR(IF(INDEX('HMM Locations'!$B:$B,MATCH(F316,'HMM Locations'!$A:$A,0))="","(not assigned)",INDEX('HMM Locations'!$B:$B,MATCH(F316,'HMM Locations'!$A:$A,0))),"(not assigned)")</f>
        <v/>
      </c>
      <c r="I316" s="3">
        <f>IFERROR(IF(INDEX('HMM Locations'!$C:$G,MATCH(F316,'HMM Locations'!$A:$A,0),D316)="","(not assigned)",INDEX('HMM Locations'!$C:$G,MATCH(F316,'HMM Locations'!$A:$A,0),D316)),"(not assigned)")</f>
        <v/>
      </c>
      <c r="J316" s="3">
        <f>IF(COUNTIF(G316:I316,"(not assigned)")=0,"Ready","Needs grid entry")</f>
        <v/>
      </c>
      <c r="K316" s="3" t="inlineStr"/>
      <c r="L316" s="3" t="inlineStr">
        <is>
          <t>羊肉</t>
        </is>
      </c>
    </row>
    <row r="317" ht="15.75" customHeight="1" s="9">
      <c r="A317" s="7" t="inlineStr">
        <is>
          <t>药</t>
        </is>
      </c>
      <c r="B317" s="7" t="n">
        <v>2</v>
      </c>
      <c r="C317" s="3" t="inlineStr">
        <is>
          <t>yào</t>
        </is>
      </c>
      <c r="D317" s="3" t="n">
        <v>4</v>
      </c>
      <c r="E317" s="3" t="inlineStr">
        <is>
          <t>Y</t>
        </is>
      </c>
      <c r="F317" s="3" t="inlineStr">
        <is>
          <t>AO</t>
        </is>
      </c>
      <c r="G317" s="3">
        <f>IFERROR(IF(INDEX('HMM Actors'!$B:$B,MATCH(E317,'HMM Actors'!$A:$A,0))="","(not assigned)",INDEX('HMM Actors'!$B:$B,MATCH(E317,'HMM Actors'!$A:$A,0))),"(not assigned)")</f>
        <v/>
      </c>
      <c r="H317" s="3">
        <f>IFERROR(IF(INDEX('HMM Locations'!$B:$B,MATCH(F317,'HMM Locations'!$A:$A,0))="","(not assigned)",INDEX('HMM Locations'!$B:$B,MATCH(F317,'HMM Locations'!$A:$A,0))),"(not assigned)")</f>
        <v/>
      </c>
      <c r="I317" s="3">
        <f>IFERROR(IF(INDEX('HMM Locations'!$C:$G,MATCH(F317,'HMM Locations'!$A:$A,0),D317)="","(not assigned)",INDEX('HMM Locations'!$C:$G,MATCH(F317,'HMM Locations'!$A:$A,0),D317)),"(not assigned)")</f>
        <v/>
      </c>
      <c r="J317" s="3">
        <f>IF(COUNTIF(G317:I317,"(not assigned)")=0,"Ready","Needs grid entry")</f>
        <v/>
      </c>
      <c r="K317" s="3" t="inlineStr"/>
      <c r="L317" s="3" t="inlineStr">
        <is>
          <t>药</t>
        </is>
      </c>
    </row>
    <row r="318" ht="15.75" customHeight="1" s="9">
      <c r="A318" s="7" t="inlineStr">
        <is>
          <t>要</t>
        </is>
      </c>
      <c r="B318" s="7" t="n">
        <v>2</v>
      </c>
      <c r="C318" s="3" t="inlineStr">
        <is>
          <t>yào</t>
        </is>
      </c>
      <c r="D318" s="3" t="n">
        <v>4</v>
      </c>
      <c r="E318" s="3" t="inlineStr">
        <is>
          <t>Y</t>
        </is>
      </c>
      <c r="F318" s="3" t="inlineStr">
        <is>
          <t>AO</t>
        </is>
      </c>
      <c r="G318" s="3">
        <f>IFERROR(IF(INDEX('HMM Actors'!$B:$B,MATCH(E318,'HMM Actors'!$A:$A,0))="","(not assigned)",INDEX('HMM Actors'!$B:$B,MATCH(E318,'HMM Actors'!$A:$A,0))),"(not assigned)")</f>
        <v/>
      </c>
      <c r="H318" s="3">
        <f>IFERROR(IF(INDEX('HMM Locations'!$B:$B,MATCH(F318,'HMM Locations'!$A:$A,0))="","(not assigned)",INDEX('HMM Locations'!$B:$B,MATCH(F318,'HMM Locations'!$A:$A,0))),"(not assigned)")</f>
        <v/>
      </c>
      <c r="I318" s="3">
        <f>IFERROR(IF(INDEX('HMM Locations'!$C:$G,MATCH(F318,'HMM Locations'!$A:$A,0),D318)="","(not assigned)",INDEX('HMM Locations'!$C:$G,MATCH(F318,'HMM Locations'!$A:$A,0),D318)),"(not assigned)")</f>
        <v/>
      </c>
      <c r="J318" s="3">
        <f>IF(COUNTIF(G318:I318,"(not assigned)")=0,"Ready","Needs grid entry")</f>
        <v/>
      </c>
      <c r="K318" s="3" t="inlineStr">
        <is>
          <t>yāo</t>
        </is>
      </c>
      <c r="L318" s="3" t="inlineStr">
        <is>
          <t>要、需要、要求、重要</t>
        </is>
      </c>
    </row>
    <row r="319" ht="15.75" customHeight="1" s="9">
      <c r="A319" s="7" t="inlineStr">
        <is>
          <t>也</t>
        </is>
      </c>
      <c r="B319" s="7" t="n">
        <v>2</v>
      </c>
      <c r="C319" s="3" t="inlineStr">
        <is>
          <t>yě</t>
        </is>
      </c>
      <c r="D319" s="3" t="n">
        <v>3</v>
      </c>
      <c r="E319" s="3" t="inlineStr">
        <is>
          <t>Y</t>
        </is>
      </c>
      <c r="F319" s="3" t="inlineStr">
        <is>
          <t>E</t>
        </is>
      </c>
      <c r="G319" s="3">
        <f>IFERROR(IF(INDEX('HMM Actors'!$B:$B,MATCH(E319,'HMM Actors'!$A:$A,0))="","(not assigned)",INDEX('HMM Actors'!$B:$B,MATCH(E319,'HMM Actors'!$A:$A,0))),"(not assigned)")</f>
        <v/>
      </c>
      <c r="H319" s="3">
        <f>IFERROR(IF(INDEX('HMM Locations'!$B:$B,MATCH(F319,'HMM Locations'!$A:$A,0))="","(not assigned)",INDEX('HMM Locations'!$B:$B,MATCH(F319,'HMM Locations'!$A:$A,0))),"(not assigned)")</f>
        <v/>
      </c>
      <c r="I319" s="3">
        <f>IFERROR(IF(INDEX('HMM Locations'!$C:$G,MATCH(F319,'HMM Locations'!$A:$A,0),D319)="","(not assigned)",INDEX('HMM Locations'!$C:$G,MATCH(F319,'HMM Locations'!$A:$A,0),D319)),"(not assigned)")</f>
        <v/>
      </c>
      <c r="J319" s="3">
        <f>IF(COUNTIF(G319:I319,"(not assigned)")=0,"Ready","Needs grid entry")</f>
        <v/>
      </c>
      <c r="K319" s="3" t="inlineStr"/>
      <c r="L319" s="3" t="inlineStr">
        <is>
          <t>也</t>
        </is>
      </c>
    </row>
    <row r="320" ht="15.75" customHeight="1" s="9">
      <c r="A320" s="7" t="inlineStr">
        <is>
          <t>宜</t>
        </is>
      </c>
      <c r="B320" s="7" t="n">
        <v>2</v>
      </c>
      <c r="C320" s="3" t="inlineStr">
        <is>
          <t>yí</t>
        </is>
      </c>
      <c r="D320" s="3" t="n">
        <v>2</v>
      </c>
      <c r="E320" s="3" t="inlineStr">
        <is>
          <t>Y</t>
        </is>
      </c>
      <c r="F320" s="3" t="inlineStr">
        <is>
          <t>I</t>
        </is>
      </c>
      <c r="G320" s="3">
        <f>IFERROR(IF(INDEX('HMM Actors'!$B:$B,MATCH(E320,'HMM Actors'!$A:$A,0))="","(not assigned)",INDEX('HMM Actors'!$B:$B,MATCH(E320,'HMM Actors'!$A:$A,0))),"(not assigned)")</f>
        <v/>
      </c>
      <c r="H320" s="3">
        <f>IFERROR(IF(INDEX('HMM Locations'!$B:$B,MATCH(F320,'HMM Locations'!$A:$A,0))="","(not assigned)",INDEX('HMM Locations'!$B:$B,MATCH(F320,'HMM Locations'!$A:$A,0))),"(not assigned)")</f>
        <v/>
      </c>
      <c r="I320" s="3">
        <f>IFERROR(IF(INDEX('HMM Locations'!$C:$G,MATCH(F320,'HMM Locations'!$A:$A,0),D320)="","(not assigned)",INDEX('HMM Locations'!$C:$G,MATCH(F320,'HMM Locations'!$A:$A,0),D320)),"(not assigned)")</f>
        <v/>
      </c>
      <c r="J320" s="3">
        <f>IF(COUNTIF(G320:I320,"(not assigned)")=0,"Ready","Needs grid entry")</f>
        <v/>
      </c>
      <c r="K320" s="3" t="inlineStr"/>
      <c r="L320" s="3" t="inlineStr">
        <is>
          <t>便宜</t>
        </is>
      </c>
    </row>
    <row r="321" ht="15.75" customHeight="1" s="9">
      <c r="A321" s="7" t="inlineStr">
        <is>
          <t>已</t>
        </is>
      </c>
      <c r="B321" s="7" t="n">
        <v>2</v>
      </c>
      <c r="C321" s="3" t="inlineStr">
        <is>
          <t>yǐ</t>
        </is>
      </c>
      <c r="D321" s="3" t="n">
        <v>3</v>
      </c>
      <c r="E321" s="3" t="inlineStr">
        <is>
          <t>Y</t>
        </is>
      </c>
      <c r="F321" s="3" t="inlineStr">
        <is>
          <t>I</t>
        </is>
      </c>
      <c r="G321" s="3">
        <f>IFERROR(IF(INDEX('HMM Actors'!$B:$B,MATCH(E321,'HMM Actors'!$A:$A,0))="","(not assigned)",INDEX('HMM Actors'!$B:$B,MATCH(E321,'HMM Actors'!$A:$A,0))),"(not assigned)")</f>
        <v/>
      </c>
      <c r="H321" s="3">
        <f>IFERROR(IF(INDEX('HMM Locations'!$B:$B,MATCH(F321,'HMM Locations'!$A:$A,0))="","(not assigned)",INDEX('HMM Locations'!$B:$B,MATCH(F321,'HMM Locations'!$A:$A,0))),"(not assigned)")</f>
        <v/>
      </c>
      <c r="I321" s="3">
        <f>IFERROR(IF(INDEX('HMM Locations'!$C:$G,MATCH(F321,'HMM Locations'!$A:$A,0),D321)="","(not assigned)",INDEX('HMM Locations'!$C:$G,MATCH(F321,'HMM Locations'!$A:$A,0),D321)),"(not assigned)")</f>
        <v/>
      </c>
      <c r="J321" s="3">
        <f>IF(COUNTIF(G321:I321,"(not assigned)")=0,"Ready","Needs grid entry")</f>
        <v/>
      </c>
      <c r="K321" s="3" t="inlineStr"/>
      <c r="L321" s="3" t="inlineStr">
        <is>
          <t>已经</t>
        </is>
      </c>
    </row>
    <row r="322" ht="15.75" customHeight="1" s="9">
      <c r="A322" s="7" t="inlineStr">
        <is>
          <t>以</t>
        </is>
      </c>
      <c r="B322" s="7" t="n">
        <v>2</v>
      </c>
      <c r="C322" s="3" t="inlineStr">
        <is>
          <t>yǐ</t>
        </is>
      </c>
      <c r="D322" s="3" t="n">
        <v>3</v>
      </c>
      <c r="E322" s="3" t="inlineStr">
        <is>
          <t>Y</t>
        </is>
      </c>
      <c r="F322" s="3" t="inlineStr">
        <is>
          <t>I</t>
        </is>
      </c>
      <c r="G322" s="3">
        <f>IFERROR(IF(INDEX('HMM Actors'!$B:$B,MATCH(E322,'HMM Actors'!$A:$A,0))="","(not assigned)",INDEX('HMM Actors'!$B:$B,MATCH(E322,'HMM Actors'!$A:$A,0))),"(not assigned)")</f>
        <v/>
      </c>
      <c r="H322" s="3">
        <f>IFERROR(IF(INDEX('HMM Locations'!$B:$B,MATCH(F322,'HMM Locations'!$A:$A,0))="","(not assigned)",INDEX('HMM Locations'!$B:$B,MATCH(F322,'HMM Locations'!$A:$A,0))),"(not assigned)")</f>
        <v/>
      </c>
      <c r="I322" s="3">
        <f>IFERROR(IF(INDEX('HMM Locations'!$C:$G,MATCH(F322,'HMM Locations'!$A:$A,0),D322)="","(not assigned)",INDEX('HMM Locations'!$C:$G,MATCH(F322,'HMM Locations'!$A:$A,0),D322)),"(not assigned)")</f>
        <v/>
      </c>
      <c r="J322" s="3">
        <f>IF(COUNTIF(G322:I322,"(not assigned)")=0,"Ready","Needs grid entry")</f>
        <v/>
      </c>
      <c r="K322" s="3" t="inlineStr"/>
      <c r="L322" s="3" t="inlineStr">
        <is>
          <t>可以、因为…所以…、以前</t>
        </is>
      </c>
    </row>
    <row r="323" ht="15.75" customHeight="1" s="9">
      <c r="A323" s="7" t="inlineStr">
        <is>
          <t>意</t>
        </is>
      </c>
      <c r="B323" s="7" t="n">
        <v>2</v>
      </c>
      <c r="C323" s="3" t="inlineStr">
        <is>
          <t>yì</t>
        </is>
      </c>
      <c r="D323" s="3" t="n">
        <v>4</v>
      </c>
      <c r="E323" s="3" t="inlineStr">
        <is>
          <t>Y</t>
        </is>
      </c>
      <c r="F323" s="3" t="inlineStr">
        <is>
          <t>I</t>
        </is>
      </c>
      <c r="G323" s="3">
        <f>IFERROR(IF(INDEX('HMM Actors'!$B:$B,MATCH(E323,'HMM Actors'!$A:$A,0))="","(not assigned)",INDEX('HMM Actors'!$B:$B,MATCH(E323,'HMM Actors'!$A:$A,0))),"(not assigned)")</f>
        <v/>
      </c>
      <c r="H323" s="3">
        <f>IFERROR(IF(INDEX('HMM Locations'!$B:$B,MATCH(F323,'HMM Locations'!$A:$A,0))="","(not assigned)",INDEX('HMM Locations'!$B:$B,MATCH(F323,'HMM Locations'!$A:$A,0))),"(not assigned)")</f>
        <v/>
      </c>
      <c r="I323" s="3">
        <f>IFERROR(IF(INDEX('HMM Locations'!$C:$G,MATCH(F323,'HMM Locations'!$A:$A,0),D323)="","(not assigned)",INDEX('HMM Locations'!$C:$G,MATCH(F323,'HMM Locations'!$A:$A,0),D323)),"(not assigned)")</f>
        <v/>
      </c>
      <c r="J323" s="3">
        <f>IF(COUNTIF(G323:I323,"(not assigned)")=0,"Ready","Needs grid entry")</f>
        <v/>
      </c>
      <c r="K323" s="3" t="inlineStr"/>
      <c r="L323" s="3" t="inlineStr">
        <is>
          <t>意思、满意、同意、愿意</t>
        </is>
      </c>
    </row>
    <row r="324" ht="15.75" customHeight="1" s="9">
      <c r="A324" s="7" t="inlineStr">
        <is>
          <t>因</t>
        </is>
      </c>
      <c r="B324" s="7" t="n">
        <v>2</v>
      </c>
      <c r="C324" s="3" t="inlineStr">
        <is>
          <t>yīn</t>
        </is>
      </c>
      <c r="D324" s="3" t="n">
        <v>1</v>
      </c>
      <c r="E324" s="3" t="inlineStr">
        <is>
          <t>Y</t>
        </is>
      </c>
      <c r="F324" s="3" t="inlineStr">
        <is>
          <t>IN</t>
        </is>
      </c>
      <c r="G324" s="3">
        <f>IFERROR(IF(INDEX('HMM Actors'!$B:$B,MATCH(E324,'HMM Actors'!$A:$A,0))="","(not assigned)",INDEX('HMM Actors'!$B:$B,MATCH(E324,'HMM Actors'!$A:$A,0))),"(not assigned)")</f>
        <v/>
      </c>
      <c r="H324" s="3">
        <f>IFERROR(IF(INDEX('HMM Locations'!$B:$B,MATCH(F324,'HMM Locations'!$A:$A,0))="","(not assigned)",INDEX('HMM Locations'!$B:$B,MATCH(F324,'HMM Locations'!$A:$A,0))),"(not assigned)")</f>
        <v/>
      </c>
      <c r="I324" s="3">
        <f>IFERROR(IF(INDEX('HMM Locations'!$C:$G,MATCH(F324,'HMM Locations'!$A:$A,0),D324)="","(not assigned)",INDEX('HMM Locations'!$C:$G,MATCH(F324,'HMM Locations'!$A:$A,0),D324)),"(not assigned)")</f>
        <v/>
      </c>
      <c r="J324" s="3">
        <f>IF(COUNTIF(G324:I324,"(not assigned)")=0,"Ready","Needs grid entry")</f>
        <v/>
      </c>
      <c r="K324" s="3" t="inlineStr"/>
      <c r="L324" s="3" t="inlineStr">
        <is>
          <t>因为…所以…</t>
        </is>
      </c>
    </row>
    <row r="325" ht="15.75" customHeight="1" s="9">
      <c r="A325" s="7" t="inlineStr">
        <is>
          <t>阴</t>
        </is>
      </c>
      <c r="B325" s="7" t="n">
        <v>2</v>
      </c>
      <c r="C325" s="3" t="inlineStr">
        <is>
          <t>yīn</t>
        </is>
      </c>
      <c r="D325" s="3" t="n">
        <v>1</v>
      </c>
      <c r="E325" s="3" t="inlineStr">
        <is>
          <t>Y</t>
        </is>
      </c>
      <c r="F325" s="3" t="inlineStr">
        <is>
          <t>IN</t>
        </is>
      </c>
      <c r="G325" s="3">
        <f>IFERROR(IF(INDEX('HMM Actors'!$B:$B,MATCH(E325,'HMM Actors'!$A:$A,0))="","(not assigned)",INDEX('HMM Actors'!$B:$B,MATCH(E325,'HMM Actors'!$A:$A,0))),"(not assigned)")</f>
        <v/>
      </c>
      <c r="H325" s="3">
        <f>IFERROR(IF(INDEX('HMM Locations'!$B:$B,MATCH(F325,'HMM Locations'!$A:$A,0))="","(not assigned)",INDEX('HMM Locations'!$B:$B,MATCH(F325,'HMM Locations'!$A:$A,0))),"(not assigned)")</f>
        <v/>
      </c>
      <c r="I325" s="3">
        <f>IFERROR(IF(INDEX('HMM Locations'!$C:$G,MATCH(F325,'HMM Locations'!$A:$A,0),D325)="","(not assigned)",INDEX('HMM Locations'!$C:$G,MATCH(F325,'HMM Locations'!$A:$A,0),D325)),"(not assigned)")</f>
        <v/>
      </c>
      <c r="J325" s="3">
        <f>IF(COUNTIF(G325:I325,"(not assigned)")=0,"Ready","Needs grid entry")</f>
        <v/>
      </c>
      <c r="K325" s="3" t="inlineStr"/>
      <c r="L325" s="3" t="inlineStr">
        <is>
          <t>阴</t>
        </is>
      </c>
    </row>
    <row r="326" ht="15.75" customHeight="1" s="9">
      <c r="A326" s="7" t="inlineStr">
        <is>
          <t>泳</t>
        </is>
      </c>
      <c r="B326" s="7" t="n">
        <v>2</v>
      </c>
      <c r="C326" s="3" t="inlineStr">
        <is>
          <t>yǒng</t>
        </is>
      </c>
      <c r="D326" s="3" t="n">
        <v>3</v>
      </c>
      <c r="E326" s="3" t="inlineStr">
        <is>
          <t>Y</t>
        </is>
      </c>
      <c r="F326" s="3" t="inlineStr">
        <is>
          <t>ONG</t>
        </is>
      </c>
      <c r="G326" s="3">
        <f>IFERROR(IF(INDEX('HMM Actors'!$B:$B,MATCH(E326,'HMM Actors'!$A:$A,0))="","(not assigned)",INDEX('HMM Actors'!$B:$B,MATCH(E326,'HMM Actors'!$A:$A,0))),"(not assigned)")</f>
        <v/>
      </c>
      <c r="H326" s="3">
        <f>IFERROR(IF(INDEX('HMM Locations'!$B:$B,MATCH(F326,'HMM Locations'!$A:$A,0))="","(not assigned)",INDEX('HMM Locations'!$B:$B,MATCH(F326,'HMM Locations'!$A:$A,0))),"(not assigned)")</f>
        <v/>
      </c>
      <c r="I326" s="3">
        <f>IFERROR(IF(INDEX('HMM Locations'!$C:$G,MATCH(F326,'HMM Locations'!$A:$A,0),D326)="","(not assigned)",INDEX('HMM Locations'!$C:$G,MATCH(F326,'HMM Locations'!$A:$A,0),D326)),"(not assigned)")</f>
        <v/>
      </c>
      <c r="J326" s="3">
        <f>IF(COUNTIF(G326:I326,"(not assigned)")=0,"Ready","Needs grid entry")</f>
        <v/>
      </c>
      <c r="K326" s="3" t="inlineStr"/>
      <c r="L326" s="3" t="inlineStr">
        <is>
          <t>游泳</t>
        </is>
      </c>
    </row>
    <row r="327" ht="15.75" customHeight="1" s="9">
      <c r="A327" s="7" t="inlineStr">
        <is>
          <t>游</t>
        </is>
      </c>
      <c r="B327" s="7" t="n">
        <v>2</v>
      </c>
      <c r="C327" s="3" t="inlineStr">
        <is>
          <t>yóu</t>
        </is>
      </c>
      <c r="D327" s="3" t="n">
        <v>2</v>
      </c>
      <c r="E327" s="3" t="inlineStr">
        <is>
          <t>Y</t>
        </is>
      </c>
      <c r="F327" s="3" t="inlineStr">
        <is>
          <t>OU</t>
        </is>
      </c>
      <c r="G327" s="3">
        <f>IFERROR(IF(INDEX('HMM Actors'!$B:$B,MATCH(E327,'HMM Actors'!$A:$A,0))="","(not assigned)",INDEX('HMM Actors'!$B:$B,MATCH(E327,'HMM Actors'!$A:$A,0))),"(not assigned)")</f>
        <v/>
      </c>
      <c r="H327" s="3">
        <f>IFERROR(IF(INDEX('HMM Locations'!$B:$B,MATCH(F327,'HMM Locations'!$A:$A,0))="","(not assigned)",INDEX('HMM Locations'!$B:$B,MATCH(F327,'HMM Locations'!$A:$A,0))),"(not assigned)")</f>
        <v/>
      </c>
      <c r="I327" s="3">
        <f>IFERROR(IF(INDEX('HMM Locations'!$C:$G,MATCH(F327,'HMM Locations'!$A:$A,0),D327)="","(not assigned)",INDEX('HMM Locations'!$C:$G,MATCH(F327,'HMM Locations'!$A:$A,0),D327)),"(not assigned)")</f>
        <v/>
      </c>
      <c r="J327" s="3">
        <f>IF(COUNTIF(G327:I327,"(not assigned)")=0,"Ready","Needs grid entry")</f>
        <v/>
      </c>
      <c r="K327" s="3" t="inlineStr"/>
      <c r="L327" s="3" t="inlineStr">
        <is>
          <t>旅游、游泳、游戏</t>
        </is>
      </c>
    </row>
    <row r="328" ht="15.75" customHeight="1" s="9">
      <c r="A328" s="7" t="inlineStr">
        <is>
          <t>右</t>
        </is>
      </c>
      <c r="B328" s="7" t="n">
        <v>2</v>
      </c>
      <c r="C328" s="3" t="inlineStr">
        <is>
          <t>yòu</t>
        </is>
      </c>
      <c r="D328" s="3" t="n">
        <v>4</v>
      </c>
      <c r="E328" s="3" t="inlineStr">
        <is>
          <t>Y</t>
        </is>
      </c>
      <c r="F328" s="3" t="inlineStr">
        <is>
          <t>OU</t>
        </is>
      </c>
      <c r="G328" s="3">
        <f>IFERROR(IF(INDEX('HMM Actors'!$B:$B,MATCH(E328,'HMM Actors'!$A:$A,0))="","(not assigned)",INDEX('HMM Actors'!$B:$B,MATCH(E328,'HMM Actors'!$A:$A,0))),"(not assigned)")</f>
        <v/>
      </c>
      <c r="H328" s="3">
        <f>IFERROR(IF(INDEX('HMM Locations'!$B:$B,MATCH(F328,'HMM Locations'!$A:$A,0))="","(not assigned)",INDEX('HMM Locations'!$B:$B,MATCH(F328,'HMM Locations'!$A:$A,0))),"(not assigned)")</f>
        <v/>
      </c>
      <c r="I328" s="3">
        <f>IFERROR(IF(INDEX('HMM Locations'!$C:$G,MATCH(F328,'HMM Locations'!$A:$A,0),D328)="","(not assigned)",INDEX('HMM Locations'!$C:$G,MATCH(F328,'HMM Locations'!$A:$A,0),D328)),"(not assigned)")</f>
        <v/>
      </c>
      <c r="J328" s="3">
        <f>IF(COUNTIF(G328:I328,"(not assigned)")=0,"Ready","Needs grid entry")</f>
        <v/>
      </c>
      <c r="K328" s="3" t="inlineStr"/>
      <c r="L328" s="3" t="inlineStr">
        <is>
          <t>右边</t>
        </is>
      </c>
    </row>
    <row r="329" ht="15.75" customHeight="1" s="9">
      <c r="A329" s="7" t="inlineStr">
        <is>
          <t>鱼</t>
        </is>
      </c>
      <c r="B329" s="7" t="n">
        <v>2</v>
      </c>
      <c r="C329" s="3" t="inlineStr">
        <is>
          <t>yú</t>
        </is>
      </c>
      <c r="D329" s="3" t="n">
        <v>2</v>
      </c>
      <c r="E329" s="3" t="inlineStr">
        <is>
          <t>Y</t>
        </is>
      </c>
      <c r="F329" s="3" t="inlineStr">
        <is>
          <t>U</t>
        </is>
      </c>
      <c r="G329" s="3">
        <f>IFERROR(IF(INDEX('HMM Actors'!$B:$B,MATCH(E329,'HMM Actors'!$A:$A,0))="","(not assigned)",INDEX('HMM Actors'!$B:$B,MATCH(E329,'HMM Actors'!$A:$A,0))),"(not assigned)")</f>
        <v/>
      </c>
      <c r="H329" s="3">
        <f>IFERROR(IF(INDEX('HMM Locations'!$B:$B,MATCH(F329,'HMM Locations'!$A:$A,0))="","(not assigned)",INDEX('HMM Locations'!$B:$B,MATCH(F329,'HMM Locations'!$A:$A,0))),"(not assigned)")</f>
        <v/>
      </c>
      <c r="I329" s="3">
        <f>IFERROR(IF(INDEX('HMM Locations'!$C:$G,MATCH(F329,'HMM Locations'!$A:$A,0),D329)="","(not assigned)",INDEX('HMM Locations'!$C:$G,MATCH(F329,'HMM Locations'!$A:$A,0),D329)),"(not assigned)")</f>
        <v/>
      </c>
      <c r="J329" s="3">
        <f>IF(COUNTIF(G329:I329,"(not assigned)")=0,"Ready","Needs grid entry")</f>
        <v/>
      </c>
      <c r="K329" s="3" t="inlineStr"/>
      <c r="L329" s="3" t="inlineStr">
        <is>
          <t>鱼</t>
        </is>
      </c>
    </row>
    <row r="330" ht="15.75" customHeight="1" s="9">
      <c r="A330" s="7" t="inlineStr">
        <is>
          <t>员</t>
        </is>
      </c>
      <c r="B330" s="7" t="n">
        <v>2</v>
      </c>
      <c r="C330" s="3" t="inlineStr">
        <is>
          <t>yuán</t>
        </is>
      </c>
      <c r="D330" s="3" t="n">
        <v>2</v>
      </c>
      <c r="E330" s="3" t="inlineStr">
        <is>
          <t>Y</t>
        </is>
      </c>
      <c r="F330" s="3" t="inlineStr">
        <is>
          <t>UAN (14th, Jacob-specific)</t>
        </is>
      </c>
      <c r="G330" s="3">
        <f>IFERROR(IF(INDEX('HMM Actors'!$B:$B,MATCH(E330,'HMM Actors'!$A:$A,0))="","(not assigned)",INDEX('HMM Actors'!$B:$B,MATCH(E330,'HMM Actors'!$A:$A,0))),"(not assigned)")</f>
        <v/>
      </c>
      <c r="H330" s="3">
        <f>IFERROR(IF(INDEX('HMM Locations'!$B:$B,MATCH(F330,'HMM Locations'!$A:$A,0))="","(not assigned)",INDEX('HMM Locations'!$B:$B,MATCH(F330,'HMM Locations'!$A:$A,0))),"(not assigned)")</f>
        <v/>
      </c>
      <c r="I330" s="3">
        <f>IFERROR(IF(INDEX('HMM Locations'!$C:$G,MATCH(F330,'HMM Locations'!$A:$A,0),D330)="","(not assigned)",INDEX('HMM Locations'!$C:$G,MATCH(F330,'HMM Locations'!$A:$A,0),D330)),"(not assigned)")</f>
        <v/>
      </c>
      <c r="J330" s="3">
        <f>IF(COUNTIF(G330:I330,"(not assigned)")=0,"Ready","Needs grid entry")</f>
        <v/>
      </c>
      <c r="K330" s="3" t="inlineStr"/>
      <c r="L330" s="3" t="inlineStr">
        <is>
          <t>服务员</t>
        </is>
      </c>
    </row>
    <row r="331" ht="15.75" customHeight="1" s="9">
      <c r="A331" s="7" t="inlineStr">
        <is>
          <t>远</t>
        </is>
      </c>
      <c r="B331" s="7" t="n">
        <v>2</v>
      </c>
      <c r="C331" s="3" t="inlineStr">
        <is>
          <t>yuǎn</t>
        </is>
      </c>
      <c r="D331" s="3" t="n">
        <v>3</v>
      </c>
      <c r="E331" s="3" t="inlineStr">
        <is>
          <t>Y</t>
        </is>
      </c>
      <c r="F331" s="3" t="inlineStr">
        <is>
          <t>UAN (14th, Jacob-specific)</t>
        </is>
      </c>
      <c r="G331" s="3">
        <f>IFERROR(IF(INDEX('HMM Actors'!$B:$B,MATCH(E331,'HMM Actors'!$A:$A,0))="","(not assigned)",INDEX('HMM Actors'!$B:$B,MATCH(E331,'HMM Actors'!$A:$A,0))),"(not assigned)")</f>
        <v/>
      </c>
      <c r="H331" s="3">
        <f>IFERROR(IF(INDEX('HMM Locations'!$B:$B,MATCH(F331,'HMM Locations'!$A:$A,0))="","(not assigned)",INDEX('HMM Locations'!$B:$B,MATCH(F331,'HMM Locations'!$A:$A,0))),"(not assigned)")</f>
        <v/>
      </c>
      <c r="I331" s="3">
        <f>IFERROR(IF(INDEX('HMM Locations'!$C:$G,MATCH(F331,'HMM Locations'!$A:$A,0),D331)="","(not assigned)",INDEX('HMM Locations'!$C:$G,MATCH(F331,'HMM Locations'!$A:$A,0),D331)),"(not assigned)")</f>
        <v/>
      </c>
      <c r="J331" s="3">
        <f>IF(COUNTIF(G331:I331,"(not assigned)")=0,"Ready","Needs grid entry")</f>
        <v/>
      </c>
      <c r="K331" s="3" t="inlineStr"/>
      <c r="L331" s="3" t="inlineStr">
        <is>
          <t>远</t>
        </is>
      </c>
    </row>
    <row r="332" ht="15.75" customHeight="1" s="9">
      <c r="A332" s="7" t="inlineStr">
        <is>
          <t>运</t>
        </is>
      </c>
      <c r="B332" s="7" t="n">
        <v>2</v>
      </c>
      <c r="C332" s="3" t="inlineStr">
        <is>
          <t>yùn</t>
        </is>
      </c>
      <c r="D332" s="3" t="n">
        <v>4</v>
      </c>
      <c r="E332" s="3" t="inlineStr">
        <is>
          <t>Y</t>
        </is>
      </c>
      <c r="F332" s="3" t="inlineStr">
        <is>
          <t>UN</t>
        </is>
      </c>
      <c r="G332" s="3">
        <f>IFERROR(IF(INDEX('HMM Actors'!$B:$B,MATCH(E332,'HMM Actors'!$A:$A,0))="","(not assigned)",INDEX('HMM Actors'!$B:$B,MATCH(E332,'HMM Actors'!$A:$A,0))),"(not assigned)")</f>
        <v/>
      </c>
      <c r="H332" s="3">
        <f>IFERROR(IF(INDEX('HMM Locations'!$B:$B,MATCH(F332,'HMM Locations'!$A:$A,0))="","(not assigned)",INDEX('HMM Locations'!$B:$B,MATCH(F332,'HMM Locations'!$A:$A,0))),"(not assigned)")</f>
        <v/>
      </c>
      <c r="I332" s="3">
        <f>IFERROR(IF(INDEX('HMM Locations'!$C:$G,MATCH(F332,'HMM Locations'!$A:$A,0),D332)="","(not assigned)",INDEX('HMM Locations'!$C:$G,MATCH(F332,'HMM Locations'!$A:$A,0),D332)),"(not assigned)")</f>
        <v/>
      </c>
      <c r="J332" s="3">
        <f>IF(COUNTIF(G332:I332,"(not assigned)")=0,"Ready","Needs grid entry")</f>
        <v/>
      </c>
      <c r="K332" s="3" t="inlineStr"/>
      <c r="L332" s="3" t="inlineStr">
        <is>
          <t>运动</t>
        </is>
      </c>
    </row>
    <row r="333" ht="15.75" customHeight="1" s="9">
      <c r="A333" s="7" t="inlineStr">
        <is>
          <t>早</t>
        </is>
      </c>
      <c r="B333" s="7" t="n">
        <v>2</v>
      </c>
      <c r="C333" s="3" t="inlineStr">
        <is>
          <t>zǎo</t>
        </is>
      </c>
      <c r="D333" s="3" t="n">
        <v>3</v>
      </c>
      <c r="E333" s="3" t="inlineStr">
        <is>
          <t>Z</t>
        </is>
      </c>
      <c r="F333" s="3" t="inlineStr">
        <is>
          <t>AO</t>
        </is>
      </c>
      <c r="G333" s="3">
        <f>IFERROR(IF(INDEX('HMM Actors'!$B:$B,MATCH(E333,'HMM Actors'!$A:$A,0))="","(not assigned)",INDEX('HMM Actors'!$B:$B,MATCH(E333,'HMM Actors'!$A:$A,0))),"(not assigned)")</f>
        <v/>
      </c>
      <c r="H333" s="3">
        <f>IFERROR(IF(INDEX('HMM Locations'!$B:$B,MATCH(F333,'HMM Locations'!$A:$A,0))="","(not assigned)",INDEX('HMM Locations'!$B:$B,MATCH(F333,'HMM Locations'!$A:$A,0))),"(not assigned)")</f>
        <v/>
      </c>
      <c r="I333" s="3">
        <f>IFERROR(IF(INDEX('HMM Locations'!$C:$G,MATCH(F333,'HMM Locations'!$A:$A,0),D333)="","(not assigned)",INDEX('HMM Locations'!$C:$G,MATCH(F333,'HMM Locations'!$A:$A,0),D333)),"(not assigned)")</f>
        <v/>
      </c>
      <c r="J333" s="3">
        <f>IF(COUNTIF(G333:I333,"(not assigned)")=0,"Ready","Needs grid entry")</f>
        <v/>
      </c>
      <c r="K333" s="3" t="inlineStr"/>
      <c r="L333" s="3" t="inlineStr">
        <is>
          <t>早上</t>
        </is>
      </c>
    </row>
    <row r="334" ht="15.75" customHeight="1" s="9">
      <c r="A334" s="7" t="inlineStr">
        <is>
          <t>站</t>
        </is>
      </c>
      <c r="B334" s="7" t="n">
        <v>2</v>
      </c>
      <c r="C334" s="3" t="inlineStr">
        <is>
          <t>zhàn</t>
        </is>
      </c>
      <c r="D334" s="3" t="n">
        <v>4</v>
      </c>
      <c r="E334" s="3" t="inlineStr">
        <is>
          <t>ZH</t>
        </is>
      </c>
      <c r="F334" s="3" t="inlineStr">
        <is>
          <t>AN</t>
        </is>
      </c>
      <c r="G334" s="3">
        <f>IFERROR(IF(INDEX('HMM Actors'!$B:$B,MATCH(E334,'HMM Actors'!$A:$A,0))="","(not assigned)",INDEX('HMM Actors'!$B:$B,MATCH(E334,'HMM Actors'!$A:$A,0))),"(not assigned)")</f>
        <v/>
      </c>
      <c r="H334" s="3">
        <f>IFERROR(IF(INDEX('HMM Locations'!$B:$B,MATCH(F334,'HMM Locations'!$A:$A,0))="","(not assigned)",INDEX('HMM Locations'!$B:$B,MATCH(F334,'HMM Locations'!$A:$A,0))),"(not assigned)")</f>
        <v/>
      </c>
      <c r="I334" s="3">
        <f>IFERROR(IF(INDEX('HMM Locations'!$C:$G,MATCH(F334,'HMM Locations'!$A:$A,0),D334)="","(not assigned)",INDEX('HMM Locations'!$C:$G,MATCH(F334,'HMM Locations'!$A:$A,0),D334)),"(not assigned)")</f>
        <v/>
      </c>
      <c r="J334" s="3">
        <f>IF(COUNTIF(G334:I334,"(not assigned)")=0,"Ready","Needs grid entry")</f>
        <v/>
      </c>
      <c r="K334" s="3" t="inlineStr"/>
      <c r="L334" s="3" t="inlineStr">
        <is>
          <t>火车站、站</t>
        </is>
      </c>
    </row>
    <row r="335" ht="15.75" customHeight="1" s="9">
      <c r="A335" s="7" t="inlineStr">
        <is>
          <t>长</t>
        </is>
      </c>
      <c r="B335" s="7" t="n">
        <v>2</v>
      </c>
      <c r="C335" s="3" t="inlineStr">
        <is>
          <t>zhǎng</t>
        </is>
      </c>
      <c r="D335" s="3" t="n">
        <v>3</v>
      </c>
      <c r="E335" s="3" t="inlineStr">
        <is>
          <t>ZH</t>
        </is>
      </c>
      <c r="F335" s="3" t="inlineStr">
        <is>
          <t>ANG</t>
        </is>
      </c>
      <c r="G335" s="3">
        <f>IFERROR(IF(INDEX('HMM Actors'!$B:$B,MATCH(E335,'HMM Actors'!$A:$A,0))="","(not assigned)",INDEX('HMM Actors'!$B:$B,MATCH(E335,'HMM Actors'!$A:$A,0))),"(not assigned)")</f>
        <v/>
      </c>
      <c r="H335" s="3">
        <f>IFERROR(IF(INDEX('HMM Locations'!$B:$B,MATCH(F335,'HMM Locations'!$A:$A,0))="","(not assigned)",INDEX('HMM Locations'!$B:$B,MATCH(F335,'HMM Locations'!$A:$A,0))),"(not assigned)")</f>
        <v/>
      </c>
      <c r="I335" s="3">
        <f>IFERROR(IF(INDEX('HMM Locations'!$C:$G,MATCH(F335,'HMM Locations'!$A:$A,0),D335)="","(not assigned)",INDEX('HMM Locations'!$C:$G,MATCH(F335,'HMM Locations'!$A:$A,0),D335)),"(not assigned)")</f>
        <v/>
      </c>
      <c r="J335" s="3">
        <f>IF(COUNTIF(G335:I335,"(not assigned)")=0,"Ready","Needs grid entry")</f>
        <v/>
      </c>
      <c r="K335" s="3" t="inlineStr">
        <is>
          <t>cháng</t>
        </is>
      </c>
      <c r="L335" s="3" t="inlineStr">
        <is>
          <t>长、校长</t>
        </is>
      </c>
    </row>
    <row r="336" ht="15.75" customHeight="1" s="9">
      <c r="A336" s="7" t="inlineStr">
        <is>
          <t>丈</t>
        </is>
      </c>
      <c r="B336" s="7" t="n">
        <v>2</v>
      </c>
      <c r="C336" s="3" t="inlineStr">
        <is>
          <t>zhàng</t>
        </is>
      </c>
      <c r="D336" s="3" t="n">
        <v>4</v>
      </c>
      <c r="E336" s="3" t="inlineStr">
        <is>
          <t>ZH</t>
        </is>
      </c>
      <c r="F336" s="3" t="inlineStr">
        <is>
          <t>ANG</t>
        </is>
      </c>
      <c r="G336" s="3">
        <f>IFERROR(IF(INDEX('HMM Actors'!$B:$B,MATCH(E336,'HMM Actors'!$A:$A,0))="","(not assigned)",INDEX('HMM Actors'!$B:$B,MATCH(E336,'HMM Actors'!$A:$A,0))),"(not assigned)")</f>
        <v/>
      </c>
      <c r="H336" s="3">
        <f>IFERROR(IF(INDEX('HMM Locations'!$B:$B,MATCH(F336,'HMM Locations'!$A:$A,0))="","(not assigned)",INDEX('HMM Locations'!$B:$B,MATCH(F336,'HMM Locations'!$A:$A,0))),"(not assigned)")</f>
        <v/>
      </c>
      <c r="I336" s="3">
        <f>IFERROR(IF(INDEX('HMM Locations'!$C:$G,MATCH(F336,'HMM Locations'!$A:$A,0),D336)="","(not assigned)",INDEX('HMM Locations'!$C:$G,MATCH(F336,'HMM Locations'!$A:$A,0),D336)),"(not assigned)")</f>
        <v/>
      </c>
      <c r="J336" s="3">
        <f>IF(COUNTIF(G336:I336,"(not assigned)")=0,"Ready","Needs grid entry")</f>
        <v/>
      </c>
      <c r="K336" s="3" t="inlineStr"/>
      <c r="L336" s="3" t="inlineStr">
        <is>
          <t>丈夫</t>
        </is>
      </c>
    </row>
    <row r="337" ht="15.75" customHeight="1" s="9">
      <c r="A337" s="7" t="inlineStr">
        <is>
          <t>找</t>
        </is>
      </c>
      <c r="B337" s="7" t="n">
        <v>2</v>
      </c>
      <c r="C337" s="3" t="inlineStr">
        <is>
          <t>zhǎo</t>
        </is>
      </c>
      <c r="D337" s="3" t="n">
        <v>3</v>
      </c>
      <c r="E337" s="3" t="inlineStr">
        <is>
          <t>ZH</t>
        </is>
      </c>
      <c r="F337" s="3" t="inlineStr">
        <is>
          <t>AO</t>
        </is>
      </c>
      <c r="G337" s="3">
        <f>IFERROR(IF(INDEX('HMM Actors'!$B:$B,MATCH(E337,'HMM Actors'!$A:$A,0))="","(not assigned)",INDEX('HMM Actors'!$B:$B,MATCH(E337,'HMM Actors'!$A:$A,0))),"(not assigned)")</f>
        <v/>
      </c>
      <c r="H337" s="3">
        <f>IFERROR(IF(INDEX('HMM Locations'!$B:$B,MATCH(F337,'HMM Locations'!$A:$A,0))="","(not assigned)",INDEX('HMM Locations'!$B:$B,MATCH(F337,'HMM Locations'!$A:$A,0))),"(not assigned)")</f>
        <v/>
      </c>
      <c r="I337" s="3">
        <f>IFERROR(IF(INDEX('HMM Locations'!$C:$G,MATCH(F337,'HMM Locations'!$A:$A,0),D337)="","(not assigned)",INDEX('HMM Locations'!$C:$G,MATCH(F337,'HMM Locations'!$A:$A,0),D337)),"(not assigned)")</f>
        <v/>
      </c>
      <c r="J337" s="3">
        <f>IF(COUNTIF(G337:I337,"(not assigned)")=0,"Ready","Needs grid entry")</f>
        <v/>
      </c>
      <c r="K337" s="3" t="inlineStr"/>
      <c r="L337" s="3" t="inlineStr">
        <is>
          <t>找</t>
        </is>
      </c>
    </row>
    <row r="338" ht="15.75" customHeight="1" s="9">
      <c r="A338" s="7" t="inlineStr">
        <is>
          <t>着</t>
        </is>
      </c>
      <c r="B338" s="7" t="n">
        <v>2</v>
      </c>
      <c r="C338" s="3" t="inlineStr">
        <is>
          <t>zhe</t>
        </is>
      </c>
      <c r="D338" s="3" t="n">
        <v>5</v>
      </c>
      <c r="E338" s="3" t="inlineStr">
        <is>
          <t>ZH</t>
        </is>
      </c>
      <c r="F338" s="3" t="inlineStr">
        <is>
          <t>E</t>
        </is>
      </c>
      <c r="G338" s="3">
        <f>IFERROR(IF(INDEX('HMM Actors'!$B:$B,MATCH(E338,'HMM Actors'!$A:$A,0))="","(not assigned)",INDEX('HMM Actors'!$B:$B,MATCH(E338,'HMM Actors'!$A:$A,0))),"(not assigned)")</f>
        <v/>
      </c>
      <c r="H338" s="3">
        <f>IFERROR(IF(INDEX('HMM Locations'!$B:$B,MATCH(F338,'HMM Locations'!$A:$A,0))="","(not assigned)",INDEX('HMM Locations'!$B:$B,MATCH(F338,'HMM Locations'!$A:$A,0))),"(not assigned)")</f>
        <v/>
      </c>
      <c r="I338" s="3">
        <f>IFERROR(IF(INDEX('HMM Locations'!$C:$G,MATCH(F338,'HMM Locations'!$A:$A,0),D338)="","(not assigned)",INDEX('HMM Locations'!$C:$G,MATCH(F338,'HMM Locations'!$A:$A,0),D338)),"(not assigned)")</f>
        <v/>
      </c>
      <c r="J338" s="3">
        <f>IF(COUNTIF(G338:I338,"(not assigned)")=0,"Ready","Needs grid entry")</f>
        <v/>
      </c>
      <c r="K338" s="3" t="inlineStr">
        <is>
          <t>zháo</t>
        </is>
      </c>
      <c r="L338" s="3" t="inlineStr">
        <is>
          <t>着、着急</t>
        </is>
      </c>
    </row>
    <row r="339" ht="15.75" customHeight="1" s="9">
      <c r="A339" s="7" t="inlineStr">
        <is>
          <t>真</t>
        </is>
      </c>
      <c r="B339" s="7" t="n">
        <v>2</v>
      </c>
      <c r="C339" s="3" t="inlineStr">
        <is>
          <t>zhēn</t>
        </is>
      </c>
      <c r="D339" s="3" t="n">
        <v>1</v>
      </c>
      <c r="E339" s="3" t="inlineStr">
        <is>
          <t>ZH</t>
        </is>
      </c>
      <c r="F339" s="3" t="inlineStr">
        <is>
          <t>(E)N</t>
        </is>
      </c>
      <c r="G339" s="3">
        <f>IFERROR(IF(INDEX('HMM Actors'!$B:$B,MATCH(E339,'HMM Actors'!$A:$A,0))="","(not assigned)",INDEX('HMM Actors'!$B:$B,MATCH(E339,'HMM Actors'!$A:$A,0))),"(not assigned)")</f>
        <v/>
      </c>
      <c r="H339" s="3">
        <f>IFERROR(IF(INDEX('HMM Locations'!$B:$B,MATCH(F339,'HMM Locations'!$A:$A,0))="","(not assigned)",INDEX('HMM Locations'!$B:$B,MATCH(F339,'HMM Locations'!$A:$A,0))),"(not assigned)")</f>
        <v/>
      </c>
      <c r="I339" s="3">
        <f>IFERROR(IF(INDEX('HMM Locations'!$C:$G,MATCH(F339,'HMM Locations'!$A:$A,0),D339)="","(not assigned)",INDEX('HMM Locations'!$C:$G,MATCH(F339,'HMM Locations'!$A:$A,0),D339)),"(not assigned)")</f>
        <v/>
      </c>
      <c r="J339" s="3">
        <f>IF(COUNTIF(G339:I339,"(not assigned)")=0,"Ready","Needs grid entry")</f>
        <v/>
      </c>
      <c r="K339" s="3" t="inlineStr"/>
      <c r="L339" s="3" t="inlineStr">
        <is>
          <t>真、认真</t>
        </is>
      </c>
    </row>
    <row r="340" ht="15.75" customHeight="1" s="9">
      <c r="A340" s="7" t="inlineStr">
        <is>
          <t>正</t>
        </is>
      </c>
      <c r="B340" s="7" t="n">
        <v>2</v>
      </c>
      <c r="C340" s="3" t="inlineStr">
        <is>
          <t>zhèng</t>
        </is>
      </c>
      <c r="D340" s="3" t="n">
        <v>4</v>
      </c>
      <c r="E340" s="3" t="inlineStr">
        <is>
          <t>ZH</t>
        </is>
      </c>
      <c r="F340" s="3" t="inlineStr">
        <is>
          <t>(E)NG</t>
        </is>
      </c>
      <c r="G340" s="3">
        <f>IFERROR(IF(INDEX('HMM Actors'!$B:$B,MATCH(E340,'HMM Actors'!$A:$A,0))="","(not assigned)",INDEX('HMM Actors'!$B:$B,MATCH(E340,'HMM Actors'!$A:$A,0))),"(not assigned)")</f>
        <v/>
      </c>
      <c r="H340" s="3">
        <f>IFERROR(IF(INDEX('HMM Locations'!$B:$B,MATCH(F340,'HMM Locations'!$A:$A,0))="","(not assigned)",INDEX('HMM Locations'!$B:$B,MATCH(F340,'HMM Locations'!$A:$A,0))),"(not assigned)")</f>
        <v/>
      </c>
      <c r="I340" s="3">
        <f>IFERROR(IF(INDEX('HMM Locations'!$C:$G,MATCH(F340,'HMM Locations'!$A:$A,0),D340)="","(not assigned)",INDEX('HMM Locations'!$C:$G,MATCH(F340,'HMM Locations'!$A:$A,0),D340)),"(not assigned)")</f>
        <v/>
      </c>
      <c r="J340" s="3">
        <f>IF(COUNTIF(G340:I340,"(not assigned)")=0,"Ready","Needs grid entry")</f>
        <v/>
      </c>
      <c r="K340" s="3" t="inlineStr"/>
      <c r="L340" s="3" t="inlineStr">
        <is>
          <t>正在</t>
        </is>
      </c>
    </row>
    <row r="341" ht="15.75" customHeight="1" s="9">
      <c r="A341" s="7" t="inlineStr">
        <is>
          <t>知</t>
        </is>
      </c>
      <c r="B341" s="7" t="n">
        <v>2</v>
      </c>
      <c r="C341" s="3" t="inlineStr">
        <is>
          <t>zhī</t>
        </is>
      </c>
      <c r="D341" s="3" t="n">
        <v>1</v>
      </c>
      <c r="E341" s="3" t="inlineStr">
        <is>
          <t>ZH</t>
        </is>
      </c>
      <c r="F341" s="3" t="inlineStr">
        <is>
          <t>Ø (no final)</t>
        </is>
      </c>
      <c r="G341" s="3">
        <f>IFERROR(IF(INDEX('HMM Actors'!$B:$B,MATCH(E341,'HMM Actors'!$A:$A,0))="","(not assigned)",INDEX('HMM Actors'!$B:$B,MATCH(E341,'HMM Actors'!$A:$A,0))),"(not assigned)")</f>
        <v/>
      </c>
      <c r="H341" s="3">
        <f>IFERROR(IF(INDEX('HMM Locations'!$B:$B,MATCH(F341,'HMM Locations'!$A:$A,0))="","(not assigned)",INDEX('HMM Locations'!$B:$B,MATCH(F341,'HMM Locations'!$A:$A,0))),"(not assigned)")</f>
        <v/>
      </c>
      <c r="I341" s="3">
        <f>IFERROR(IF(INDEX('HMM Locations'!$C:$G,MATCH(F341,'HMM Locations'!$A:$A,0),D341)="","(not assigned)",INDEX('HMM Locations'!$C:$G,MATCH(F341,'HMM Locations'!$A:$A,0),D341)),"(not assigned)")</f>
        <v/>
      </c>
      <c r="J341" s="3">
        <f>IF(COUNTIF(G341:I341,"(not assigned)")=0,"Ready","Needs grid entry")</f>
        <v/>
      </c>
      <c r="K341" s="3" t="inlineStr"/>
      <c r="L341" s="3" t="inlineStr">
        <is>
          <t>知道</t>
        </is>
      </c>
    </row>
    <row r="342" ht="15.75" customHeight="1" s="9">
      <c r="A342" s="7" t="inlineStr">
        <is>
          <t>纸</t>
        </is>
      </c>
      <c r="B342" s="7" t="n">
        <v>2</v>
      </c>
      <c r="C342" s="3" t="inlineStr">
        <is>
          <t>zhǐ</t>
        </is>
      </c>
      <c r="D342" s="3" t="n">
        <v>3</v>
      </c>
      <c r="E342" s="3" t="inlineStr">
        <is>
          <t>ZH</t>
        </is>
      </c>
      <c r="F342" s="3" t="inlineStr">
        <is>
          <t>Ø (no final)</t>
        </is>
      </c>
      <c r="G342" s="3">
        <f>IFERROR(IF(INDEX('HMM Actors'!$B:$B,MATCH(E342,'HMM Actors'!$A:$A,0))="","(not assigned)",INDEX('HMM Actors'!$B:$B,MATCH(E342,'HMM Actors'!$A:$A,0))),"(not assigned)")</f>
        <v/>
      </c>
      <c r="H342" s="3">
        <f>IFERROR(IF(INDEX('HMM Locations'!$B:$B,MATCH(F342,'HMM Locations'!$A:$A,0))="","(not assigned)",INDEX('HMM Locations'!$B:$B,MATCH(F342,'HMM Locations'!$A:$A,0))),"(not assigned)")</f>
        <v/>
      </c>
      <c r="I342" s="3">
        <f>IFERROR(IF(INDEX('HMM Locations'!$C:$G,MATCH(F342,'HMM Locations'!$A:$A,0),D342)="","(not assigned)",INDEX('HMM Locations'!$C:$G,MATCH(F342,'HMM Locations'!$A:$A,0),D342)),"(not assigned)")</f>
        <v/>
      </c>
      <c r="J342" s="3">
        <f>IF(COUNTIF(G342:I342,"(not assigned)")=0,"Ready","Needs grid entry")</f>
        <v/>
      </c>
      <c r="K342" s="3" t="inlineStr"/>
      <c r="L342" s="3" t="inlineStr">
        <is>
          <t>报纸</t>
        </is>
      </c>
    </row>
    <row r="343" ht="15.75" customHeight="1" s="9">
      <c r="A343" s="7" t="inlineStr">
        <is>
          <t>助</t>
        </is>
      </c>
      <c r="B343" s="7" t="n">
        <v>2</v>
      </c>
      <c r="C343" s="3" t="inlineStr">
        <is>
          <t>zhù</t>
        </is>
      </c>
      <c r="D343" s="3" t="n">
        <v>4</v>
      </c>
      <c r="E343" s="3" t="inlineStr">
        <is>
          <t>ZH</t>
        </is>
      </c>
      <c r="F343" s="3" t="inlineStr">
        <is>
          <t>U</t>
        </is>
      </c>
      <c r="G343" s="3">
        <f>IFERROR(IF(INDEX('HMM Actors'!$B:$B,MATCH(E343,'HMM Actors'!$A:$A,0))="","(not assigned)",INDEX('HMM Actors'!$B:$B,MATCH(E343,'HMM Actors'!$A:$A,0))),"(not assigned)")</f>
        <v/>
      </c>
      <c r="H343" s="3">
        <f>IFERROR(IF(INDEX('HMM Locations'!$B:$B,MATCH(F343,'HMM Locations'!$A:$A,0))="","(not assigned)",INDEX('HMM Locations'!$B:$B,MATCH(F343,'HMM Locations'!$A:$A,0))),"(not assigned)")</f>
        <v/>
      </c>
      <c r="I343" s="3">
        <f>IFERROR(IF(INDEX('HMM Locations'!$C:$G,MATCH(F343,'HMM Locations'!$A:$A,0),D343)="","(not assigned)",INDEX('HMM Locations'!$C:$G,MATCH(F343,'HMM Locations'!$A:$A,0),D343)),"(not assigned)")</f>
        <v/>
      </c>
      <c r="J343" s="3">
        <f>IF(COUNTIF(G343:I343,"(not assigned)")=0,"Ready","Needs grid entry")</f>
        <v/>
      </c>
      <c r="K343" s="3" t="inlineStr"/>
      <c r="L343" s="3" t="inlineStr">
        <is>
          <t>帮助</t>
        </is>
      </c>
    </row>
    <row r="344" ht="15.75" customHeight="1" s="9">
      <c r="A344" s="7" t="inlineStr">
        <is>
          <t>准</t>
        </is>
      </c>
      <c r="B344" s="7" t="n">
        <v>2</v>
      </c>
      <c r="C344" s="3" t="inlineStr">
        <is>
          <t>zhǔn</t>
        </is>
      </c>
      <c r="D344" s="3" t="n">
        <v>3</v>
      </c>
      <c r="E344" s="3" t="inlineStr">
        <is>
          <t>ZH</t>
        </is>
      </c>
      <c r="F344" s="3" t="inlineStr">
        <is>
          <t>UN</t>
        </is>
      </c>
      <c r="G344" s="3">
        <f>IFERROR(IF(INDEX('HMM Actors'!$B:$B,MATCH(E344,'HMM Actors'!$A:$A,0))="","(not assigned)",INDEX('HMM Actors'!$B:$B,MATCH(E344,'HMM Actors'!$A:$A,0))),"(not assigned)")</f>
        <v/>
      </c>
      <c r="H344" s="3">
        <f>IFERROR(IF(INDEX('HMM Locations'!$B:$B,MATCH(F344,'HMM Locations'!$A:$A,0))="","(not assigned)",INDEX('HMM Locations'!$B:$B,MATCH(F344,'HMM Locations'!$A:$A,0))),"(not assigned)")</f>
        <v/>
      </c>
      <c r="I344" s="3">
        <f>IFERROR(IF(INDEX('HMM Locations'!$C:$G,MATCH(F344,'HMM Locations'!$A:$A,0),D344)="","(not assigned)",INDEX('HMM Locations'!$C:$G,MATCH(F344,'HMM Locations'!$A:$A,0),D344)),"(not assigned)")</f>
        <v/>
      </c>
      <c r="J344" s="3">
        <f>IF(COUNTIF(G344:I344,"(not assigned)")=0,"Ready","Needs grid entry")</f>
        <v/>
      </c>
      <c r="K344" s="3" t="inlineStr"/>
      <c r="L344" s="3" t="inlineStr">
        <is>
          <t>准备</t>
        </is>
      </c>
    </row>
    <row r="345" ht="15.75" customHeight="1" s="9">
      <c r="A345" s="7" t="inlineStr">
        <is>
          <t>走</t>
        </is>
      </c>
      <c r="B345" s="7" t="n">
        <v>2</v>
      </c>
      <c r="C345" s="3" t="inlineStr">
        <is>
          <t>zǒu</t>
        </is>
      </c>
      <c r="D345" s="3" t="n">
        <v>3</v>
      </c>
      <c r="E345" s="3" t="inlineStr">
        <is>
          <t>Z</t>
        </is>
      </c>
      <c r="F345" s="3" t="inlineStr">
        <is>
          <t>OU</t>
        </is>
      </c>
      <c r="G345" s="3">
        <f>IFERROR(IF(INDEX('HMM Actors'!$B:$B,MATCH(E345,'HMM Actors'!$A:$A,0))="","(not assigned)",INDEX('HMM Actors'!$B:$B,MATCH(E345,'HMM Actors'!$A:$A,0))),"(not assigned)")</f>
        <v/>
      </c>
      <c r="H345" s="3">
        <f>IFERROR(IF(INDEX('HMM Locations'!$B:$B,MATCH(F345,'HMM Locations'!$A:$A,0))="","(not assigned)",INDEX('HMM Locations'!$B:$B,MATCH(F345,'HMM Locations'!$A:$A,0))),"(not assigned)")</f>
        <v/>
      </c>
      <c r="I345" s="3">
        <f>IFERROR(IF(INDEX('HMM Locations'!$C:$G,MATCH(F345,'HMM Locations'!$A:$A,0),D345)="","(not assigned)",INDEX('HMM Locations'!$C:$G,MATCH(F345,'HMM Locations'!$A:$A,0),D345)),"(not assigned)")</f>
        <v/>
      </c>
      <c r="J345" s="3">
        <f>IF(COUNTIF(G345:I345,"(not assigned)")=0,"Ready","Needs grid entry")</f>
        <v/>
      </c>
      <c r="K345" s="3" t="inlineStr"/>
      <c r="L345" s="3" t="inlineStr">
        <is>
          <t>走</t>
        </is>
      </c>
    </row>
    <row r="346" ht="15.75" customHeight="1" s="9">
      <c r="A346" s="7" t="inlineStr">
        <is>
          <t>足</t>
        </is>
      </c>
      <c r="B346" s="7" t="n">
        <v>2</v>
      </c>
      <c r="C346" s="3" t="inlineStr">
        <is>
          <t>zú</t>
        </is>
      </c>
      <c r="D346" s="3" t="n">
        <v>2</v>
      </c>
      <c r="E346" s="3" t="inlineStr">
        <is>
          <t>Z</t>
        </is>
      </c>
      <c r="F346" s="3" t="inlineStr">
        <is>
          <t>U</t>
        </is>
      </c>
      <c r="G346" s="3">
        <f>IFERROR(IF(INDEX('HMM Actors'!$B:$B,MATCH(E346,'HMM Actors'!$A:$A,0))="","(not assigned)",INDEX('HMM Actors'!$B:$B,MATCH(E346,'HMM Actors'!$A:$A,0))),"(not assigned)")</f>
        <v/>
      </c>
      <c r="H346" s="3">
        <f>IFERROR(IF(INDEX('HMM Locations'!$B:$B,MATCH(F346,'HMM Locations'!$A:$A,0))="","(not assigned)",INDEX('HMM Locations'!$B:$B,MATCH(F346,'HMM Locations'!$A:$A,0))),"(not assigned)")</f>
        <v/>
      </c>
      <c r="I346" s="3">
        <f>IFERROR(IF(INDEX('HMM Locations'!$C:$G,MATCH(F346,'HMM Locations'!$A:$A,0),D346)="","(not assigned)",INDEX('HMM Locations'!$C:$G,MATCH(F346,'HMM Locations'!$A:$A,0),D346)),"(not assigned)")</f>
        <v/>
      </c>
      <c r="J346" s="3">
        <f>IF(COUNTIF(G346:I346,"(not assigned)")=0,"Ready","Needs grid entry")</f>
        <v/>
      </c>
      <c r="K346" s="3" t="inlineStr"/>
      <c r="L346" s="3" t="inlineStr">
        <is>
          <t>踢足球</t>
        </is>
      </c>
    </row>
    <row r="347" ht="15.75" customHeight="1" s="9">
      <c r="A347" s="7" t="inlineStr">
        <is>
          <t>最</t>
        </is>
      </c>
      <c r="B347" s="7" t="n">
        <v>2</v>
      </c>
      <c r="C347" s="3" t="inlineStr">
        <is>
          <t>zuì</t>
        </is>
      </c>
      <c r="D347" s="3" t="n">
        <v>4</v>
      </c>
      <c r="E347" s="3" t="inlineStr">
        <is>
          <t>Z</t>
        </is>
      </c>
      <c r="F347" s="3" t="inlineStr">
        <is>
          <t>UI</t>
        </is>
      </c>
      <c r="G347" s="3">
        <f>IFERROR(IF(INDEX('HMM Actors'!$B:$B,MATCH(E347,'HMM Actors'!$A:$A,0))="","(not assigned)",INDEX('HMM Actors'!$B:$B,MATCH(E347,'HMM Actors'!$A:$A,0))),"(not assigned)")</f>
        <v/>
      </c>
      <c r="H347" s="3">
        <f>IFERROR(IF(INDEX('HMM Locations'!$B:$B,MATCH(F347,'HMM Locations'!$A:$A,0))="","(not assigned)",INDEX('HMM Locations'!$B:$B,MATCH(F347,'HMM Locations'!$A:$A,0))),"(not assigned)")</f>
        <v/>
      </c>
      <c r="I347" s="3">
        <f>IFERROR(IF(INDEX('HMM Locations'!$C:$G,MATCH(F347,'HMM Locations'!$A:$A,0),D347)="","(not assigned)",INDEX('HMM Locations'!$C:$G,MATCH(F347,'HMM Locations'!$A:$A,0),D347)),"(not assigned)")</f>
        <v/>
      </c>
      <c r="J347" s="3">
        <f>IF(COUNTIF(G347:I347,"(not assigned)")=0,"Ready","Needs grid entry")</f>
        <v/>
      </c>
      <c r="K347" s="3" t="inlineStr"/>
      <c r="L347" s="3" t="inlineStr">
        <is>
          <t>最、最后、最近</t>
        </is>
      </c>
    </row>
    <row r="348" ht="15.75" customHeight="1" s="9">
      <c r="A348" s="7" t="inlineStr">
        <is>
          <t>左</t>
        </is>
      </c>
      <c r="B348" s="7" t="n">
        <v>2</v>
      </c>
      <c r="C348" s="3" t="inlineStr">
        <is>
          <t>zuǒ</t>
        </is>
      </c>
      <c r="D348" s="3" t="n">
        <v>3</v>
      </c>
      <c r="E348" s="3" t="inlineStr">
        <is>
          <t>Z</t>
        </is>
      </c>
      <c r="F348" s="3" t="inlineStr">
        <is>
          <t>UO</t>
        </is>
      </c>
      <c r="G348" s="3">
        <f>IFERROR(IF(INDEX('HMM Actors'!$B:$B,MATCH(E348,'HMM Actors'!$A:$A,0))="","(not assigned)",INDEX('HMM Actors'!$B:$B,MATCH(E348,'HMM Actors'!$A:$A,0))),"(not assigned)")</f>
        <v/>
      </c>
      <c r="H348" s="3">
        <f>IFERROR(IF(INDEX('HMM Locations'!$B:$B,MATCH(F348,'HMM Locations'!$A:$A,0))="","(not assigned)",INDEX('HMM Locations'!$B:$B,MATCH(F348,'HMM Locations'!$A:$A,0))),"(not assigned)")</f>
        <v/>
      </c>
      <c r="I348" s="3">
        <f>IFERROR(IF(INDEX('HMM Locations'!$C:$G,MATCH(F348,'HMM Locations'!$A:$A,0),D348)="","(not assigned)",INDEX('HMM Locations'!$C:$G,MATCH(F348,'HMM Locations'!$A:$A,0),D348)),"(not assigned)")</f>
        <v/>
      </c>
      <c r="J348" s="3">
        <f>IF(COUNTIF(G348:I348,"(not assigned)")=0,"Ready","Needs grid entry")</f>
        <v/>
      </c>
      <c r="K348" s="3" t="inlineStr"/>
      <c r="L348" s="3" t="inlineStr">
        <is>
          <t>左边</t>
        </is>
      </c>
    </row>
    <row r="349" ht="15.75" customHeight="1" s="9">
      <c r="A349" s="7" t="inlineStr">
        <is>
          <t>阿</t>
        </is>
      </c>
      <c r="B349" s="7" t="n">
        <v>3</v>
      </c>
      <c r="C349" s="3" t="inlineStr">
        <is>
          <t>ā</t>
        </is>
      </c>
      <c r="D349" s="3" t="n">
        <v>1</v>
      </c>
      <c r="E349" s="3" t="inlineStr">
        <is>
          <t>Ø</t>
        </is>
      </c>
      <c r="F349" s="3" t="inlineStr">
        <is>
          <t>A</t>
        </is>
      </c>
      <c r="G349" s="3">
        <f>IFERROR(IF(INDEX('HMM Actors'!$B:$B,MATCH(E349,'HMM Actors'!$A:$A,0))="","(not assigned)",INDEX('HMM Actors'!$B:$B,MATCH(E349,'HMM Actors'!$A:$A,0))),"(not assigned)")</f>
        <v/>
      </c>
      <c r="H349" s="3">
        <f>IFERROR(IF(INDEX('HMM Locations'!$B:$B,MATCH(F349,'HMM Locations'!$A:$A,0))="","(not assigned)",INDEX('HMM Locations'!$B:$B,MATCH(F349,'HMM Locations'!$A:$A,0))),"(not assigned)")</f>
        <v/>
      </c>
      <c r="I349" s="3">
        <f>IFERROR(IF(INDEX('HMM Locations'!$C:$G,MATCH(F349,'HMM Locations'!$A:$A,0),D349)="","(not assigned)",INDEX('HMM Locations'!$C:$G,MATCH(F349,'HMM Locations'!$A:$A,0),D349)),"(not assigned)")</f>
        <v/>
      </c>
      <c r="J349" s="3">
        <f>IF(COUNTIF(G349:I349,"(not assigned)")=0,"Ready","Needs grid entry")</f>
        <v/>
      </c>
      <c r="K349" s="3" t="inlineStr"/>
      <c r="L349" s="3" t="inlineStr">
        <is>
          <t>阿姨</t>
        </is>
      </c>
    </row>
    <row r="350" ht="15.75" customHeight="1" s="9">
      <c r="A350" s="7" t="inlineStr">
        <is>
          <t>啊</t>
        </is>
      </c>
      <c r="B350" s="7" t="n">
        <v>3</v>
      </c>
      <c r="C350" s="3" t="inlineStr">
        <is>
          <t>a</t>
        </is>
      </c>
      <c r="D350" s="3" t="n">
        <v>5</v>
      </c>
      <c r="E350" s="3" t="inlineStr">
        <is>
          <t>Ø</t>
        </is>
      </c>
      <c r="F350" s="3" t="inlineStr">
        <is>
          <t>A</t>
        </is>
      </c>
      <c r="G350" s="3">
        <f>IFERROR(IF(INDEX('HMM Actors'!$B:$B,MATCH(E350,'HMM Actors'!$A:$A,0))="","(not assigned)",INDEX('HMM Actors'!$B:$B,MATCH(E350,'HMM Actors'!$A:$A,0))),"(not assigned)")</f>
        <v/>
      </c>
      <c r="H350" s="3">
        <f>IFERROR(IF(INDEX('HMM Locations'!$B:$B,MATCH(F350,'HMM Locations'!$A:$A,0))="","(not assigned)",INDEX('HMM Locations'!$B:$B,MATCH(F350,'HMM Locations'!$A:$A,0))),"(not assigned)")</f>
        <v/>
      </c>
      <c r="I350" s="3">
        <f>IFERROR(IF(INDEX('HMM Locations'!$C:$G,MATCH(F350,'HMM Locations'!$A:$A,0),D350)="","(not assigned)",INDEX('HMM Locations'!$C:$G,MATCH(F350,'HMM Locations'!$A:$A,0),D350)),"(not assigned)")</f>
        <v/>
      </c>
      <c r="J350" s="3">
        <f>IF(COUNTIF(G350:I350,"(not assigned)")=0,"Ready","Needs grid entry")</f>
        <v/>
      </c>
      <c r="K350" s="3" t="inlineStr"/>
      <c r="L350" s="3" t="inlineStr">
        <is>
          <t>啊</t>
        </is>
      </c>
    </row>
    <row r="351" ht="15.75" customHeight="1" s="9">
      <c r="A351" s="7" t="inlineStr">
        <is>
          <t>矮</t>
        </is>
      </c>
      <c r="B351" s="7" t="n">
        <v>3</v>
      </c>
      <c r="C351" s="3" t="inlineStr">
        <is>
          <t>ǎi</t>
        </is>
      </c>
      <c r="D351" s="3" t="n">
        <v>3</v>
      </c>
      <c r="E351" s="3" t="inlineStr">
        <is>
          <t>Ø</t>
        </is>
      </c>
      <c r="F351" s="3" t="inlineStr">
        <is>
          <t>AI</t>
        </is>
      </c>
      <c r="G351" s="3">
        <f>IFERROR(IF(INDEX('HMM Actors'!$B:$B,MATCH(E351,'HMM Actors'!$A:$A,0))="","(not assigned)",INDEX('HMM Actors'!$B:$B,MATCH(E351,'HMM Actors'!$A:$A,0))),"(not assigned)")</f>
        <v/>
      </c>
      <c r="H351" s="3">
        <f>IFERROR(IF(INDEX('HMM Locations'!$B:$B,MATCH(F351,'HMM Locations'!$A:$A,0))="","(not assigned)",INDEX('HMM Locations'!$B:$B,MATCH(F351,'HMM Locations'!$A:$A,0))),"(not assigned)")</f>
        <v/>
      </c>
      <c r="I351" s="3">
        <f>IFERROR(IF(INDEX('HMM Locations'!$C:$G,MATCH(F351,'HMM Locations'!$A:$A,0),D351)="","(not assigned)",INDEX('HMM Locations'!$C:$G,MATCH(F351,'HMM Locations'!$A:$A,0),D351)),"(not assigned)")</f>
        <v/>
      </c>
      <c r="J351" s="3">
        <f>IF(COUNTIF(G351:I351,"(not assigned)")=0,"Ready","Needs grid entry")</f>
        <v/>
      </c>
      <c r="K351" s="3" t="inlineStr"/>
      <c r="L351" s="3" t="inlineStr">
        <is>
          <t>矮</t>
        </is>
      </c>
    </row>
    <row r="352" ht="15.75" customHeight="1" s="9">
      <c r="A352" s="7" t="inlineStr">
        <is>
          <t>安</t>
        </is>
      </c>
      <c r="B352" s="7" t="n">
        <v>3</v>
      </c>
      <c r="C352" s="3" t="inlineStr">
        <is>
          <t>ān</t>
        </is>
      </c>
      <c r="D352" s="3" t="n">
        <v>1</v>
      </c>
      <c r="E352" s="3" t="inlineStr">
        <is>
          <t>Ø</t>
        </is>
      </c>
      <c r="F352" s="3" t="inlineStr">
        <is>
          <t>AN</t>
        </is>
      </c>
      <c r="G352" s="3">
        <f>IFERROR(IF(INDEX('HMM Actors'!$B:$B,MATCH(E352,'HMM Actors'!$A:$A,0))="","(not assigned)",INDEX('HMM Actors'!$B:$B,MATCH(E352,'HMM Actors'!$A:$A,0))),"(not assigned)")</f>
        <v/>
      </c>
      <c r="H352" s="3">
        <f>IFERROR(IF(INDEX('HMM Locations'!$B:$B,MATCH(F352,'HMM Locations'!$A:$A,0))="","(not assigned)",INDEX('HMM Locations'!$B:$B,MATCH(F352,'HMM Locations'!$A:$A,0))),"(not assigned)")</f>
        <v/>
      </c>
      <c r="I352" s="3">
        <f>IFERROR(IF(INDEX('HMM Locations'!$C:$G,MATCH(F352,'HMM Locations'!$A:$A,0),D352)="","(not assigned)",INDEX('HMM Locations'!$C:$G,MATCH(F352,'HMM Locations'!$A:$A,0),D352)),"(not assigned)")</f>
        <v/>
      </c>
      <c r="J352" s="3">
        <f>IF(COUNTIF(G352:I352,"(not assigned)")=0,"Ready","Needs grid entry")</f>
        <v/>
      </c>
      <c r="K352" s="3" t="inlineStr"/>
      <c r="L352" s="3" t="inlineStr">
        <is>
          <t>安静</t>
        </is>
      </c>
    </row>
    <row r="353" ht="15.75" customHeight="1" s="9">
      <c r="A353" s="7" t="inlineStr">
        <is>
          <t>把</t>
        </is>
      </c>
      <c r="B353" s="7" t="n">
        <v>3</v>
      </c>
      <c r="C353" s="3" t="inlineStr">
        <is>
          <t>bǎ</t>
        </is>
      </c>
      <c r="D353" s="3" t="n">
        <v>3</v>
      </c>
      <c r="E353" s="3" t="inlineStr">
        <is>
          <t>B</t>
        </is>
      </c>
      <c r="F353" s="3" t="inlineStr">
        <is>
          <t>A</t>
        </is>
      </c>
      <c r="G353" s="3">
        <f>IFERROR(IF(INDEX('HMM Actors'!$B:$B,MATCH(E353,'HMM Actors'!$A:$A,0))="","(not assigned)",INDEX('HMM Actors'!$B:$B,MATCH(E353,'HMM Actors'!$A:$A,0))),"(not assigned)")</f>
        <v/>
      </c>
      <c r="H353" s="3">
        <f>IFERROR(IF(INDEX('HMM Locations'!$B:$B,MATCH(F353,'HMM Locations'!$A:$A,0))="","(not assigned)",INDEX('HMM Locations'!$B:$B,MATCH(F353,'HMM Locations'!$A:$A,0))),"(not assigned)")</f>
        <v/>
      </c>
      <c r="I353" s="3">
        <f>IFERROR(IF(INDEX('HMM Locations'!$C:$G,MATCH(F353,'HMM Locations'!$A:$A,0),D353)="","(not assigned)",INDEX('HMM Locations'!$C:$G,MATCH(F353,'HMM Locations'!$A:$A,0),D353)),"(not assigned)")</f>
        <v/>
      </c>
      <c r="J353" s="3">
        <f>IF(COUNTIF(G353:I353,"(not assigned)")=0,"Ready","Needs grid entry")</f>
        <v/>
      </c>
      <c r="K353" s="3" t="inlineStr"/>
      <c r="L353" s="3" t="inlineStr">
        <is>
          <t>把</t>
        </is>
      </c>
    </row>
    <row r="354" ht="15.75" customHeight="1" s="9">
      <c r="A354" s="7" t="inlineStr">
        <is>
          <t>般</t>
        </is>
      </c>
      <c r="B354" s="7" t="n">
        <v>3</v>
      </c>
      <c r="C354" s="3" t="inlineStr">
        <is>
          <t>bān</t>
        </is>
      </c>
      <c r="D354" s="3" t="n">
        <v>1</v>
      </c>
      <c r="E354" s="3" t="inlineStr">
        <is>
          <t>B</t>
        </is>
      </c>
      <c r="F354" s="3" t="inlineStr">
        <is>
          <t>AN</t>
        </is>
      </c>
      <c r="G354" s="3">
        <f>IFERROR(IF(INDEX('HMM Actors'!$B:$B,MATCH(E354,'HMM Actors'!$A:$A,0))="","(not assigned)",INDEX('HMM Actors'!$B:$B,MATCH(E354,'HMM Actors'!$A:$A,0))),"(not assigned)")</f>
        <v/>
      </c>
      <c r="H354" s="3">
        <f>IFERROR(IF(INDEX('HMM Locations'!$B:$B,MATCH(F354,'HMM Locations'!$A:$A,0))="","(not assigned)",INDEX('HMM Locations'!$B:$B,MATCH(F354,'HMM Locations'!$A:$A,0))),"(not assigned)")</f>
        <v/>
      </c>
      <c r="I354" s="3">
        <f>IFERROR(IF(INDEX('HMM Locations'!$C:$G,MATCH(F354,'HMM Locations'!$A:$A,0),D354)="","(not assigned)",INDEX('HMM Locations'!$C:$G,MATCH(F354,'HMM Locations'!$A:$A,0),D354)),"(not assigned)")</f>
        <v/>
      </c>
      <c r="J354" s="3">
        <f>IF(COUNTIF(G354:I354,"(not assigned)")=0,"Ready","Needs grid entry")</f>
        <v/>
      </c>
      <c r="K354" s="3" t="inlineStr"/>
      <c r="L354" s="3" t="inlineStr">
        <is>
          <t>一般</t>
        </is>
      </c>
    </row>
    <row r="355" ht="15.75" customHeight="1" s="9">
      <c r="A355" s="7" t="inlineStr">
        <is>
          <t>搬</t>
        </is>
      </c>
      <c r="B355" s="7" t="n">
        <v>3</v>
      </c>
      <c r="C355" s="3" t="inlineStr">
        <is>
          <t>bān</t>
        </is>
      </c>
      <c r="D355" s="3" t="n">
        <v>1</v>
      </c>
      <c r="E355" s="3" t="inlineStr">
        <is>
          <t>B</t>
        </is>
      </c>
      <c r="F355" s="3" t="inlineStr">
        <is>
          <t>AN</t>
        </is>
      </c>
      <c r="G355" s="3">
        <f>IFERROR(IF(INDEX('HMM Actors'!$B:$B,MATCH(E355,'HMM Actors'!$A:$A,0))="","(not assigned)",INDEX('HMM Actors'!$B:$B,MATCH(E355,'HMM Actors'!$A:$A,0))),"(not assigned)")</f>
        <v/>
      </c>
      <c r="H355" s="3">
        <f>IFERROR(IF(INDEX('HMM Locations'!$B:$B,MATCH(F355,'HMM Locations'!$A:$A,0))="","(not assigned)",INDEX('HMM Locations'!$B:$B,MATCH(F355,'HMM Locations'!$A:$A,0))),"(not assigned)")</f>
        <v/>
      </c>
      <c r="I355" s="3">
        <f>IFERROR(IF(INDEX('HMM Locations'!$C:$G,MATCH(F355,'HMM Locations'!$A:$A,0),D355)="","(not assigned)",INDEX('HMM Locations'!$C:$G,MATCH(F355,'HMM Locations'!$A:$A,0),D355)),"(not assigned)")</f>
        <v/>
      </c>
      <c r="J355" s="3">
        <f>IF(COUNTIF(G355:I355,"(not assigned)")=0,"Ready","Needs grid entry")</f>
        <v/>
      </c>
      <c r="K355" s="3" t="inlineStr"/>
      <c r="L355" s="3" t="inlineStr">
        <is>
          <t>搬</t>
        </is>
      </c>
    </row>
    <row r="356" ht="15.75" customHeight="1" s="9">
      <c r="A356" s="7" t="inlineStr">
        <is>
          <t>板</t>
        </is>
      </c>
      <c r="B356" s="7" t="n">
        <v>3</v>
      </c>
      <c r="C356" s="3" t="inlineStr">
        <is>
          <t>bǎn</t>
        </is>
      </c>
      <c r="D356" s="3" t="n">
        <v>3</v>
      </c>
      <c r="E356" s="3" t="inlineStr">
        <is>
          <t>B</t>
        </is>
      </c>
      <c r="F356" s="3" t="inlineStr">
        <is>
          <t>AN</t>
        </is>
      </c>
      <c r="G356" s="3">
        <f>IFERROR(IF(INDEX('HMM Actors'!$B:$B,MATCH(E356,'HMM Actors'!$A:$A,0))="","(not assigned)",INDEX('HMM Actors'!$B:$B,MATCH(E356,'HMM Actors'!$A:$A,0))),"(not assigned)")</f>
        <v/>
      </c>
      <c r="H356" s="3">
        <f>IFERROR(IF(INDEX('HMM Locations'!$B:$B,MATCH(F356,'HMM Locations'!$A:$A,0))="","(not assigned)",INDEX('HMM Locations'!$B:$B,MATCH(F356,'HMM Locations'!$A:$A,0))),"(not assigned)")</f>
        <v/>
      </c>
      <c r="I356" s="3">
        <f>IFERROR(IF(INDEX('HMM Locations'!$C:$G,MATCH(F356,'HMM Locations'!$A:$A,0),D356)="","(not assigned)",INDEX('HMM Locations'!$C:$G,MATCH(F356,'HMM Locations'!$A:$A,0),D356)),"(not assigned)")</f>
        <v/>
      </c>
      <c r="J356" s="3">
        <f>IF(COUNTIF(G356:I356,"(not assigned)")=0,"Ready","Needs grid entry")</f>
        <v/>
      </c>
      <c r="K356" s="3" t="inlineStr"/>
      <c r="L356" s="3" t="inlineStr">
        <is>
          <t>黑板</t>
        </is>
      </c>
    </row>
    <row r="357" ht="15.75" customHeight="1" s="9">
      <c r="A357" s="7" t="inlineStr">
        <is>
          <t>办</t>
        </is>
      </c>
      <c r="B357" s="7" t="n">
        <v>3</v>
      </c>
      <c r="C357" s="3" t="inlineStr">
        <is>
          <t>bàn</t>
        </is>
      </c>
      <c r="D357" s="3" t="n">
        <v>4</v>
      </c>
      <c r="E357" s="3" t="inlineStr">
        <is>
          <t>B</t>
        </is>
      </c>
      <c r="F357" s="3" t="inlineStr">
        <is>
          <t>AN</t>
        </is>
      </c>
      <c r="G357" s="3">
        <f>IFERROR(IF(INDEX('HMM Actors'!$B:$B,MATCH(E357,'HMM Actors'!$A:$A,0))="","(not assigned)",INDEX('HMM Actors'!$B:$B,MATCH(E357,'HMM Actors'!$A:$A,0))),"(not assigned)")</f>
        <v/>
      </c>
      <c r="H357" s="3">
        <f>IFERROR(IF(INDEX('HMM Locations'!$B:$B,MATCH(F357,'HMM Locations'!$A:$A,0))="","(not assigned)",INDEX('HMM Locations'!$B:$B,MATCH(F357,'HMM Locations'!$A:$A,0))),"(not assigned)")</f>
        <v/>
      </c>
      <c r="I357" s="3">
        <f>IFERROR(IF(INDEX('HMM Locations'!$C:$G,MATCH(F357,'HMM Locations'!$A:$A,0),D357)="","(not assigned)",INDEX('HMM Locations'!$C:$G,MATCH(F357,'HMM Locations'!$A:$A,0),D357)),"(not assigned)")</f>
        <v/>
      </c>
      <c r="J357" s="3">
        <f>IF(COUNTIF(G357:I357,"(not assigned)")=0,"Ready","Needs grid entry")</f>
        <v/>
      </c>
      <c r="K357" s="3" t="inlineStr"/>
      <c r="L357" s="3" t="inlineStr">
        <is>
          <t>办法、办公室</t>
        </is>
      </c>
    </row>
    <row r="358" ht="15.75" customHeight="1" s="9">
      <c r="A358" s="7" t="inlineStr">
        <is>
          <t>半</t>
        </is>
      </c>
      <c r="B358" s="7" t="n">
        <v>3</v>
      </c>
      <c r="C358" s="3" t="inlineStr">
        <is>
          <t>bàn</t>
        </is>
      </c>
      <c r="D358" s="3" t="n">
        <v>4</v>
      </c>
      <c r="E358" s="3" t="inlineStr">
        <is>
          <t>B</t>
        </is>
      </c>
      <c r="F358" s="3" t="inlineStr">
        <is>
          <t>AN</t>
        </is>
      </c>
      <c r="G358" s="3">
        <f>IFERROR(IF(INDEX('HMM Actors'!$B:$B,MATCH(E358,'HMM Actors'!$A:$A,0))="","(not assigned)",INDEX('HMM Actors'!$B:$B,MATCH(E358,'HMM Actors'!$A:$A,0))),"(not assigned)")</f>
        <v/>
      </c>
      <c r="H358" s="3">
        <f>IFERROR(IF(INDEX('HMM Locations'!$B:$B,MATCH(F358,'HMM Locations'!$A:$A,0))="","(not assigned)",INDEX('HMM Locations'!$B:$B,MATCH(F358,'HMM Locations'!$A:$A,0))),"(not assigned)")</f>
        <v/>
      </c>
      <c r="I358" s="3">
        <f>IFERROR(IF(INDEX('HMM Locations'!$C:$G,MATCH(F358,'HMM Locations'!$A:$A,0),D358)="","(not assigned)",INDEX('HMM Locations'!$C:$G,MATCH(F358,'HMM Locations'!$A:$A,0),D358)),"(not assigned)")</f>
        <v/>
      </c>
      <c r="J358" s="3">
        <f>IF(COUNTIF(G358:I358,"(not assigned)")=0,"Ready","Needs grid entry")</f>
        <v/>
      </c>
      <c r="K358" s="3" t="inlineStr"/>
      <c r="L358" s="3" t="inlineStr">
        <is>
          <t>半</t>
        </is>
      </c>
    </row>
    <row r="359" ht="15.75" customHeight="1" s="9">
      <c r="A359" s="7" t="inlineStr">
        <is>
          <t>包</t>
        </is>
      </c>
      <c r="B359" s="7" t="n">
        <v>3</v>
      </c>
      <c r="C359" s="3" t="inlineStr">
        <is>
          <t>bāo</t>
        </is>
      </c>
      <c r="D359" s="3" t="n">
        <v>1</v>
      </c>
      <c r="E359" s="3" t="inlineStr">
        <is>
          <t>B</t>
        </is>
      </c>
      <c r="F359" s="3" t="inlineStr">
        <is>
          <t>AO</t>
        </is>
      </c>
      <c r="G359" s="3">
        <f>IFERROR(IF(INDEX('HMM Actors'!$B:$B,MATCH(E359,'HMM Actors'!$A:$A,0))="","(not assigned)",INDEX('HMM Actors'!$B:$B,MATCH(E359,'HMM Actors'!$A:$A,0))),"(not assigned)")</f>
        <v/>
      </c>
      <c r="H359" s="3">
        <f>IFERROR(IF(INDEX('HMM Locations'!$B:$B,MATCH(F359,'HMM Locations'!$A:$A,0))="","(not assigned)",INDEX('HMM Locations'!$B:$B,MATCH(F359,'HMM Locations'!$A:$A,0))),"(not assigned)")</f>
        <v/>
      </c>
      <c r="I359" s="3">
        <f>IFERROR(IF(INDEX('HMM Locations'!$C:$G,MATCH(F359,'HMM Locations'!$A:$A,0),D359)="","(not assigned)",INDEX('HMM Locations'!$C:$G,MATCH(F359,'HMM Locations'!$A:$A,0),D359)),"(not assigned)")</f>
        <v/>
      </c>
      <c r="J359" s="3">
        <f>IF(COUNTIF(G359:I359,"(not assigned)")=0,"Ready","Needs grid entry")</f>
        <v/>
      </c>
      <c r="K359" s="3" t="inlineStr"/>
      <c r="L359" s="3" t="inlineStr">
        <is>
          <t>包、面包</t>
        </is>
      </c>
    </row>
    <row r="360" ht="15.75" customHeight="1" s="9">
      <c r="A360" s="7" t="inlineStr">
        <is>
          <t>饱</t>
        </is>
      </c>
      <c r="B360" s="7" t="n">
        <v>3</v>
      </c>
      <c r="C360" s="3" t="inlineStr">
        <is>
          <t>bǎo</t>
        </is>
      </c>
      <c r="D360" s="3" t="n">
        <v>3</v>
      </c>
      <c r="E360" s="3" t="inlineStr">
        <is>
          <t>B</t>
        </is>
      </c>
      <c r="F360" s="3" t="inlineStr">
        <is>
          <t>AO</t>
        </is>
      </c>
      <c r="G360" s="3">
        <f>IFERROR(IF(INDEX('HMM Actors'!$B:$B,MATCH(E360,'HMM Actors'!$A:$A,0))="","(not assigned)",INDEX('HMM Actors'!$B:$B,MATCH(E360,'HMM Actors'!$A:$A,0))),"(not assigned)")</f>
        <v/>
      </c>
      <c r="H360" s="3">
        <f>IFERROR(IF(INDEX('HMM Locations'!$B:$B,MATCH(F360,'HMM Locations'!$A:$A,0))="","(not assigned)",INDEX('HMM Locations'!$B:$B,MATCH(F360,'HMM Locations'!$A:$A,0))),"(not assigned)")</f>
        <v/>
      </c>
      <c r="I360" s="3">
        <f>IFERROR(IF(INDEX('HMM Locations'!$C:$G,MATCH(F360,'HMM Locations'!$A:$A,0),D360)="","(not assigned)",INDEX('HMM Locations'!$C:$G,MATCH(F360,'HMM Locations'!$A:$A,0),D360)),"(not assigned)")</f>
        <v/>
      </c>
      <c r="J360" s="3">
        <f>IF(COUNTIF(G360:I360,"(not assigned)")=0,"Ready","Needs grid entry")</f>
        <v/>
      </c>
      <c r="K360" s="3" t="inlineStr"/>
      <c r="L360" s="3" t="inlineStr">
        <is>
          <t>饱</t>
        </is>
      </c>
    </row>
    <row r="361" ht="15.75" customHeight="1" s="9">
      <c r="A361" s="7" t="inlineStr">
        <is>
          <t>被</t>
        </is>
      </c>
      <c r="B361" s="7" t="n">
        <v>3</v>
      </c>
      <c r="C361" s="3" t="inlineStr">
        <is>
          <t>bèi</t>
        </is>
      </c>
      <c r="D361" s="3" t="n">
        <v>4</v>
      </c>
      <c r="E361" s="3" t="inlineStr">
        <is>
          <t>B</t>
        </is>
      </c>
      <c r="F361" s="3" t="inlineStr">
        <is>
          <t>EI</t>
        </is>
      </c>
      <c r="G361" s="3">
        <f>IFERROR(IF(INDEX('HMM Actors'!$B:$B,MATCH(E361,'HMM Actors'!$A:$A,0))="","(not assigned)",INDEX('HMM Actors'!$B:$B,MATCH(E361,'HMM Actors'!$A:$A,0))),"(not assigned)")</f>
        <v/>
      </c>
      <c r="H361" s="3">
        <f>IFERROR(IF(INDEX('HMM Locations'!$B:$B,MATCH(F361,'HMM Locations'!$A:$A,0))="","(not assigned)",INDEX('HMM Locations'!$B:$B,MATCH(F361,'HMM Locations'!$A:$A,0))),"(not assigned)")</f>
        <v/>
      </c>
      <c r="I361" s="3">
        <f>IFERROR(IF(INDEX('HMM Locations'!$C:$G,MATCH(F361,'HMM Locations'!$A:$A,0),D361)="","(not assigned)",INDEX('HMM Locations'!$C:$G,MATCH(F361,'HMM Locations'!$A:$A,0),D361)),"(not assigned)")</f>
        <v/>
      </c>
      <c r="J361" s="3">
        <f>IF(COUNTIF(G361:I361,"(not assigned)")=0,"Ready","Needs grid entry")</f>
        <v/>
      </c>
      <c r="K361" s="3" t="inlineStr"/>
      <c r="L361" s="3" t="inlineStr">
        <is>
          <t>被</t>
        </is>
      </c>
    </row>
    <row r="362" ht="15.75" customHeight="1" s="9">
      <c r="A362" s="7" t="inlineStr">
        <is>
          <t>鼻</t>
        </is>
      </c>
      <c r="B362" s="7" t="n">
        <v>3</v>
      </c>
      <c r="C362" s="3" t="inlineStr">
        <is>
          <t>bí</t>
        </is>
      </c>
      <c r="D362" s="3" t="n">
        <v>2</v>
      </c>
      <c r="E362" s="3" t="inlineStr">
        <is>
          <t>B</t>
        </is>
      </c>
      <c r="F362" s="3" t="inlineStr">
        <is>
          <t>I</t>
        </is>
      </c>
      <c r="G362" s="3">
        <f>IFERROR(IF(INDEX('HMM Actors'!$B:$B,MATCH(E362,'HMM Actors'!$A:$A,0))="","(not assigned)",INDEX('HMM Actors'!$B:$B,MATCH(E362,'HMM Actors'!$A:$A,0))),"(not assigned)")</f>
        <v/>
      </c>
      <c r="H362" s="3">
        <f>IFERROR(IF(INDEX('HMM Locations'!$B:$B,MATCH(F362,'HMM Locations'!$A:$A,0))="","(not assigned)",INDEX('HMM Locations'!$B:$B,MATCH(F362,'HMM Locations'!$A:$A,0))),"(not assigned)")</f>
        <v/>
      </c>
      <c r="I362" s="3">
        <f>IFERROR(IF(INDEX('HMM Locations'!$C:$G,MATCH(F362,'HMM Locations'!$A:$A,0),D362)="","(not assigned)",INDEX('HMM Locations'!$C:$G,MATCH(F362,'HMM Locations'!$A:$A,0),D362)),"(not assigned)")</f>
        <v/>
      </c>
      <c r="J362" s="3">
        <f>IF(COUNTIF(G362:I362,"(not assigned)")=0,"Ready","Needs grid entry")</f>
        <v/>
      </c>
      <c r="K362" s="3" t="inlineStr"/>
      <c r="L362" s="3" t="inlineStr">
        <is>
          <t>鼻子</t>
        </is>
      </c>
    </row>
    <row r="363" ht="15.75" customHeight="1" s="9">
      <c r="A363" s="7" t="inlineStr">
        <is>
          <t>必</t>
        </is>
      </c>
      <c r="B363" s="7" t="n">
        <v>3</v>
      </c>
      <c r="C363" s="3" t="inlineStr">
        <is>
          <t>bì</t>
        </is>
      </c>
      <c r="D363" s="3" t="n">
        <v>4</v>
      </c>
      <c r="E363" s="3" t="inlineStr">
        <is>
          <t>B</t>
        </is>
      </c>
      <c r="F363" s="3" t="inlineStr">
        <is>
          <t>I</t>
        </is>
      </c>
      <c r="G363" s="3">
        <f>IFERROR(IF(INDEX('HMM Actors'!$B:$B,MATCH(E363,'HMM Actors'!$A:$A,0))="","(not assigned)",INDEX('HMM Actors'!$B:$B,MATCH(E363,'HMM Actors'!$A:$A,0))),"(not assigned)")</f>
        <v/>
      </c>
      <c r="H363" s="3">
        <f>IFERROR(IF(INDEX('HMM Locations'!$B:$B,MATCH(F363,'HMM Locations'!$A:$A,0))="","(not assigned)",INDEX('HMM Locations'!$B:$B,MATCH(F363,'HMM Locations'!$A:$A,0))),"(not assigned)")</f>
        <v/>
      </c>
      <c r="I363" s="3">
        <f>IFERROR(IF(INDEX('HMM Locations'!$C:$G,MATCH(F363,'HMM Locations'!$A:$A,0),D363)="","(not assigned)",INDEX('HMM Locations'!$C:$G,MATCH(F363,'HMM Locations'!$A:$A,0),D363)),"(not assigned)")</f>
        <v/>
      </c>
      <c r="J363" s="3">
        <f>IF(COUNTIF(G363:I363,"(not assigned)")=0,"Ready","Needs grid entry")</f>
        <v/>
      </c>
      <c r="K363" s="3" t="inlineStr"/>
      <c r="L363" s="3" t="inlineStr">
        <is>
          <t>必须</t>
        </is>
      </c>
    </row>
    <row r="364" ht="15.75" customHeight="1" s="9">
      <c r="A364" s="7" t="inlineStr">
        <is>
          <t>变</t>
        </is>
      </c>
      <c r="B364" s="7" t="n">
        <v>3</v>
      </c>
      <c r="C364" s="3" t="inlineStr">
        <is>
          <t>biàn</t>
        </is>
      </c>
      <c r="D364" s="3" t="n">
        <v>4</v>
      </c>
      <c r="E364" s="3" t="inlineStr">
        <is>
          <t>B</t>
        </is>
      </c>
      <c r="F364" s="3" t="inlineStr">
        <is>
          <t>IAN</t>
        </is>
      </c>
      <c r="G364" s="3">
        <f>IFERROR(IF(INDEX('HMM Actors'!$B:$B,MATCH(E364,'HMM Actors'!$A:$A,0))="","(not assigned)",INDEX('HMM Actors'!$B:$B,MATCH(E364,'HMM Actors'!$A:$A,0))),"(not assigned)")</f>
        <v/>
      </c>
      <c r="H364" s="3">
        <f>IFERROR(IF(INDEX('HMM Locations'!$B:$B,MATCH(F364,'HMM Locations'!$A:$A,0))="","(not assigned)",INDEX('HMM Locations'!$B:$B,MATCH(F364,'HMM Locations'!$A:$A,0))),"(not assigned)")</f>
        <v/>
      </c>
      <c r="I364" s="3">
        <f>IFERROR(IF(INDEX('HMM Locations'!$C:$G,MATCH(F364,'HMM Locations'!$A:$A,0),D364)="","(not assigned)",INDEX('HMM Locations'!$C:$G,MATCH(F364,'HMM Locations'!$A:$A,0),D364)),"(not assigned)")</f>
        <v/>
      </c>
      <c r="J364" s="3">
        <f>IF(COUNTIF(G364:I364,"(not assigned)")=0,"Ready","Needs grid entry")</f>
        <v/>
      </c>
      <c r="K364" s="3" t="inlineStr"/>
      <c r="L364" s="3" t="inlineStr">
        <is>
          <t>变化</t>
        </is>
      </c>
    </row>
    <row r="365" ht="15.75" customHeight="1" s="9">
      <c r="A365" s="7" t="inlineStr">
        <is>
          <t>冰</t>
        </is>
      </c>
      <c r="B365" s="7" t="n">
        <v>3</v>
      </c>
      <c r="C365" s="3" t="inlineStr">
        <is>
          <t>bīng</t>
        </is>
      </c>
      <c r="D365" s="3" t="n">
        <v>1</v>
      </c>
      <c r="E365" s="3" t="inlineStr">
        <is>
          <t>B</t>
        </is>
      </c>
      <c r="F365" s="3" t="inlineStr">
        <is>
          <t>ING</t>
        </is>
      </c>
      <c r="G365" s="3">
        <f>IFERROR(IF(INDEX('HMM Actors'!$B:$B,MATCH(E365,'HMM Actors'!$A:$A,0))="","(not assigned)",INDEX('HMM Actors'!$B:$B,MATCH(E365,'HMM Actors'!$A:$A,0))),"(not assigned)")</f>
        <v/>
      </c>
      <c r="H365" s="3">
        <f>IFERROR(IF(INDEX('HMM Locations'!$B:$B,MATCH(F365,'HMM Locations'!$A:$A,0))="","(not assigned)",INDEX('HMM Locations'!$B:$B,MATCH(F365,'HMM Locations'!$A:$A,0))),"(not assigned)")</f>
        <v/>
      </c>
      <c r="I365" s="3">
        <f>IFERROR(IF(INDEX('HMM Locations'!$C:$G,MATCH(F365,'HMM Locations'!$A:$A,0),D365)="","(not assigned)",INDEX('HMM Locations'!$C:$G,MATCH(F365,'HMM Locations'!$A:$A,0),D365)),"(not assigned)")</f>
        <v/>
      </c>
      <c r="J365" s="3">
        <f>IF(COUNTIF(G365:I365,"(not assigned)")=0,"Ready","Needs grid entry")</f>
        <v/>
      </c>
      <c r="K365" s="3" t="inlineStr"/>
      <c r="L365" s="3" t="inlineStr">
        <is>
          <t>冰箱</t>
        </is>
      </c>
    </row>
    <row r="366" ht="15.75" customHeight="1" s="9">
      <c r="A366" s="7" t="inlineStr">
        <is>
          <t>才</t>
        </is>
      </c>
      <c r="B366" s="7" t="n">
        <v>3</v>
      </c>
      <c r="C366" s="3" t="inlineStr">
        <is>
          <t>cái</t>
        </is>
      </c>
      <c r="D366" s="3" t="n">
        <v>2</v>
      </c>
      <c r="E366" s="3" t="inlineStr">
        <is>
          <t>C</t>
        </is>
      </c>
      <c r="F366" s="3" t="inlineStr">
        <is>
          <t>AI</t>
        </is>
      </c>
      <c r="G366" s="3">
        <f>IFERROR(IF(INDEX('HMM Actors'!$B:$B,MATCH(E366,'HMM Actors'!$A:$A,0))="","(not assigned)",INDEX('HMM Actors'!$B:$B,MATCH(E366,'HMM Actors'!$A:$A,0))),"(not assigned)")</f>
        <v/>
      </c>
      <c r="H366" s="3">
        <f>IFERROR(IF(INDEX('HMM Locations'!$B:$B,MATCH(F366,'HMM Locations'!$A:$A,0))="","(not assigned)",INDEX('HMM Locations'!$B:$B,MATCH(F366,'HMM Locations'!$A:$A,0))),"(not assigned)")</f>
        <v/>
      </c>
      <c r="I366" s="3">
        <f>IFERROR(IF(INDEX('HMM Locations'!$C:$G,MATCH(F366,'HMM Locations'!$A:$A,0),D366)="","(not assigned)",INDEX('HMM Locations'!$C:$G,MATCH(F366,'HMM Locations'!$A:$A,0),D366)),"(not assigned)")</f>
        <v/>
      </c>
      <c r="J366" s="3">
        <f>IF(COUNTIF(G366:I366,"(not assigned)")=0,"Ready","Needs grid entry")</f>
        <v/>
      </c>
      <c r="K366" s="3" t="inlineStr"/>
      <c r="L366" s="3" t="inlineStr">
        <is>
          <t>刚才、只有…才…</t>
        </is>
      </c>
    </row>
    <row r="367" ht="15.75" customHeight="1" s="9">
      <c r="A367" s="7" t="inlineStr">
        <is>
          <t>参</t>
        </is>
      </c>
      <c r="B367" s="7" t="n">
        <v>3</v>
      </c>
      <c r="C367" s="3" t="inlineStr">
        <is>
          <t>cān</t>
        </is>
      </c>
      <c r="D367" s="3" t="n">
        <v>1</v>
      </c>
      <c r="E367" s="3" t="inlineStr">
        <is>
          <t>C</t>
        </is>
      </c>
      <c r="F367" s="3" t="inlineStr">
        <is>
          <t>AN</t>
        </is>
      </c>
      <c r="G367" s="3">
        <f>IFERROR(IF(INDEX('HMM Actors'!$B:$B,MATCH(E367,'HMM Actors'!$A:$A,0))="","(not assigned)",INDEX('HMM Actors'!$B:$B,MATCH(E367,'HMM Actors'!$A:$A,0))),"(not assigned)")</f>
        <v/>
      </c>
      <c r="H367" s="3">
        <f>IFERROR(IF(INDEX('HMM Locations'!$B:$B,MATCH(F367,'HMM Locations'!$A:$A,0))="","(not assigned)",INDEX('HMM Locations'!$B:$B,MATCH(F367,'HMM Locations'!$A:$A,0))),"(not assigned)")</f>
        <v/>
      </c>
      <c r="I367" s="3">
        <f>IFERROR(IF(INDEX('HMM Locations'!$C:$G,MATCH(F367,'HMM Locations'!$A:$A,0),D367)="","(not assigned)",INDEX('HMM Locations'!$C:$G,MATCH(F367,'HMM Locations'!$A:$A,0),D367)),"(not assigned)")</f>
        <v/>
      </c>
      <c r="J367" s="3">
        <f>IF(COUNTIF(G367:I367,"(not assigned)")=0,"Ready","Needs grid entry")</f>
        <v/>
      </c>
      <c r="K367" s="3" t="inlineStr"/>
      <c r="L367" s="3" t="inlineStr">
        <is>
          <t>参加</t>
        </is>
      </c>
    </row>
    <row r="368" ht="15.75" customHeight="1" s="9">
      <c r="A368" s="7" t="inlineStr">
        <is>
          <t>草</t>
        </is>
      </c>
      <c r="B368" s="7" t="n">
        <v>3</v>
      </c>
      <c r="C368" s="3" t="inlineStr">
        <is>
          <t>cǎo</t>
        </is>
      </c>
      <c r="D368" s="3" t="n">
        <v>3</v>
      </c>
      <c r="E368" s="3" t="inlineStr">
        <is>
          <t>C</t>
        </is>
      </c>
      <c r="F368" s="3" t="inlineStr">
        <is>
          <t>AO</t>
        </is>
      </c>
      <c r="G368" s="3">
        <f>IFERROR(IF(INDEX('HMM Actors'!$B:$B,MATCH(E368,'HMM Actors'!$A:$A,0))="","(not assigned)",INDEX('HMM Actors'!$B:$B,MATCH(E368,'HMM Actors'!$A:$A,0))),"(not assigned)")</f>
        <v/>
      </c>
      <c r="H368" s="3">
        <f>IFERROR(IF(INDEX('HMM Locations'!$B:$B,MATCH(F368,'HMM Locations'!$A:$A,0))="","(not assigned)",INDEX('HMM Locations'!$B:$B,MATCH(F368,'HMM Locations'!$A:$A,0))),"(not assigned)")</f>
        <v/>
      </c>
      <c r="I368" s="3">
        <f>IFERROR(IF(INDEX('HMM Locations'!$C:$G,MATCH(F368,'HMM Locations'!$A:$A,0),D368)="","(not assigned)",INDEX('HMM Locations'!$C:$G,MATCH(F368,'HMM Locations'!$A:$A,0),D368)),"(not assigned)")</f>
        <v/>
      </c>
      <c r="J368" s="3">
        <f>IF(COUNTIF(G368:I368,"(not assigned)")=0,"Ready","Needs grid entry")</f>
        <v/>
      </c>
      <c r="K368" s="3" t="inlineStr"/>
      <c r="L368" s="3" t="inlineStr">
        <is>
          <t>草</t>
        </is>
      </c>
    </row>
    <row r="369" ht="15.75" customHeight="1" s="9">
      <c r="A369" s="7" t="inlineStr">
        <is>
          <t>层</t>
        </is>
      </c>
      <c r="B369" s="7" t="n">
        <v>3</v>
      </c>
      <c r="C369" s="3" t="inlineStr">
        <is>
          <t>céng</t>
        </is>
      </c>
      <c r="D369" s="3" t="n">
        <v>2</v>
      </c>
      <c r="E369" s="3" t="inlineStr">
        <is>
          <t>C</t>
        </is>
      </c>
      <c r="F369" s="3" t="inlineStr">
        <is>
          <t>(E)NG</t>
        </is>
      </c>
      <c r="G369" s="3">
        <f>IFERROR(IF(INDEX('HMM Actors'!$B:$B,MATCH(E369,'HMM Actors'!$A:$A,0))="","(not assigned)",INDEX('HMM Actors'!$B:$B,MATCH(E369,'HMM Actors'!$A:$A,0))),"(not assigned)")</f>
        <v/>
      </c>
      <c r="H369" s="3">
        <f>IFERROR(IF(INDEX('HMM Locations'!$B:$B,MATCH(F369,'HMM Locations'!$A:$A,0))="","(not assigned)",INDEX('HMM Locations'!$B:$B,MATCH(F369,'HMM Locations'!$A:$A,0))),"(not assigned)")</f>
        <v/>
      </c>
      <c r="I369" s="3">
        <f>IFERROR(IF(INDEX('HMM Locations'!$C:$G,MATCH(F369,'HMM Locations'!$A:$A,0),D369)="","(not assigned)",INDEX('HMM Locations'!$C:$G,MATCH(F369,'HMM Locations'!$A:$A,0),D369)),"(not assigned)")</f>
        <v/>
      </c>
      <c r="J369" s="3">
        <f>IF(COUNTIF(G369:I369,"(not assigned)")=0,"Ready","Needs grid entry")</f>
        <v/>
      </c>
      <c r="K369" s="3" t="inlineStr"/>
      <c r="L369" s="3" t="inlineStr">
        <is>
          <t>层</t>
        </is>
      </c>
    </row>
    <row r="370" ht="15.75" customHeight="1" s="9">
      <c r="A370" s="7" t="inlineStr">
        <is>
          <t>查</t>
        </is>
      </c>
      <c r="B370" s="7" t="n">
        <v>3</v>
      </c>
      <c r="C370" s="3" t="inlineStr">
        <is>
          <t>chá</t>
        </is>
      </c>
      <c r="D370" s="3" t="n">
        <v>2</v>
      </c>
      <c r="E370" s="3" t="inlineStr">
        <is>
          <t>CH</t>
        </is>
      </c>
      <c r="F370" s="3" t="inlineStr">
        <is>
          <t>A</t>
        </is>
      </c>
      <c r="G370" s="3">
        <f>IFERROR(IF(INDEX('HMM Actors'!$B:$B,MATCH(E370,'HMM Actors'!$A:$A,0))="","(not assigned)",INDEX('HMM Actors'!$B:$B,MATCH(E370,'HMM Actors'!$A:$A,0))),"(not assigned)")</f>
        <v/>
      </c>
      <c r="H370" s="3">
        <f>IFERROR(IF(INDEX('HMM Locations'!$B:$B,MATCH(F370,'HMM Locations'!$A:$A,0))="","(not assigned)",INDEX('HMM Locations'!$B:$B,MATCH(F370,'HMM Locations'!$A:$A,0))),"(not assigned)")</f>
        <v/>
      </c>
      <c r="I370" s="3">
        <f>IFERROR(IF(INDEX('HMM Locations'!$C:$G,MATCH(F370,'HMM Locations'!$A:$A,0),D370)="","(not assigned)",INDEX('HMM Locations'!$C:$G,MATCH(F370,'HMM Locations'!$A:$A,0),D370)),"(not assigned)")</f>
        <v/>
      </c>
      <c r="J370" s="3">
        <f>IF(COUNTIF(G370:I370,"(not assigned)")=0,"Ready","Needs grid entry")</f>
        <v/>
      </c>
      <c r="K370" s="3" t="inlineStr"/>
      <c r="L370" s="3" t="inlineStr">
        <is>
          <t>检查</t>
        </is>
      </c>
    </row>
    <row r="371" ht="15.75" customHeight="1" s="9">
      <c r="A371" s="7" t="inlineStr">
        <is>
          <t>差</t>
        </is>
      </c>
      <c r="B371" s="7" t="n">
        <v>3</v>
      </c>
      <c r="C371" s="3" t="inlineStr">
        <is>
          <t>chà</t>
        </is>
      </c>
      <c r="D371" s="3" t="n">
        <v>4</v>
      </c>
      <c r="E371" s="3" t="inlineStr">
        <is>
          <t>CH</t>
        </is>
      </c>
      <c r="F371" s="3" t="inlineStr">
        <is>
          <t>A</t>
        </is>
      </c>
      <c r="G371" s="3">
        <f>IFERROR(IF(INDEX('HMM Actors'!$B:$B,MATCH(E371,'HMM Actors'!$A:$A,0))="","(not assigned)",INDEX('HMM Actors'!$B:$B,MATCH(E371,'HMM Actors'!$A:$A,0))),"(not assigned)")</f>
        <v/>
      </c>
      <c r="H371" s="3">
        <f>IFERROR(IF(INDEX('HMM Locations'!$B:$B,MATCH(F371,'HMM Locations'!$A:$A,0))="","(not assigned)",INDEX('HMM Locations'!$B:$B,MATCH(F371,'HMM Locations'!$A:$A,0))),"(not assigned)")</f>
        <v/>
      </c>
      <c r="I371" s="3">
        <f>IFERROR(IF(INDEX('HMM Locations'!$C:$G,MATCH(F371,'HMM Locations'!$A:$A,0),D371)="","(not assigned)",INDEX('HMM Locations'!$C:$G,MATCH(F371,'HMM Locations'!$A:$A,0),D371)),"(not assigned)")</f>
        <v/>
      </c>
      <c r="J371" s="3">
        <f>IF(COUNTIF(G371:I371,"(not assigned)")=0,"Ready","Needs grid entry")</f>
        <v/>
      </c>
      <c r="K371" s="3" t="inlineStr"/>
      <c r="L371" s="3" t="inlineStr">
        <is>
          <t>差</t>
        </is>
      </c>
    </row>
    <row r="372" ht="15.75" customHeight="1" s="9">
      <c r="A372" s="7" t="inlineStr">
        <is>
          <t>超</t>
        </is>
      </c>
      <c r="B372" s="7" t="n">
        <v>3</v>
      </c>
      <c r="C372" s="3" t="inlineStr">
        <is>
          <t>chāo</t>
        </is>
      </c>
      <c r="D372" s="3" t="n">
        <v>1</v>
      </c>
      <c r="E372" s="3" t="inlineStr">
        <is>
          <t>CH</t>
        </is>
      </c>
      <c r="F372" s="3" t="inlineStr">
        <is>
          <t>AO</t>
        </is>
      </c>
      <c r="G372" s="3">
        <f>IFERROR(IF(INDEX('HMM Actors'!$B:$B,MATCH(E372,'HMM Actors'!$A:$A,0))="","(not assigned)",INDEX('HMM Actors'!$B:$B,MATCH(E372,'HMM Actors'!$A:$A,0))),"(not assigned)")</f>
        <v/>
      </c>
      <c r="H372" s="3">
        <f>IFERROR(IF(INDEX('HMM Locations'!$B:$B,MATCH(F372,'HMM Locations'!$A:$A,0))="","(not assigned)",INDEX('HMM Locations'!$B:$B,MATCH(F372,'HMM Locations'!$A:$A,0))),"(not assigned)")</f>
        <v/>
      </c>
      <c r="I372" s="3">
        <f>IFERROR(IF(INDEX('HMM Locations'!$C:$G,MATCH(F372,'HMM Locations'!$A:$A,0),D372)="","(not assigned)",INDEX('HMM Locations'!$C:$G,MATCH(F372,'HMM Locations'!$A:$A,0),D372)),"(not assigned)")</f>
        <v/>
      </c>
      <c r="J372" s="3">
        <f>IF(COUNTIF(G372:I372,"(not assigned)")=0,"Ready","Needs grid entry")</f>
        <v/>
      </c>
      <c r="K372" s="3" t="inlineStr"/>
      <c r="L372" s="3" t="inlineStr">
        <is>
          <t>超市</t>
        </is>
      </c>
    </row>
    <row r="373" ht="15.75" customHeight="1" s="9">
      <c r="A373" s="7" t="inlineStr">
        <is>
          <t>衬</t>
        </is>
      </c>
      <c r="B373" s="7" t="n">
        <v>3</v>
      </c>
      <c r="C373" s="3" t="inlineStr">
        <is>
          <t>chèn</t>
        </is>
      </c>
      <c r="D373" s="3" t="n">
        <v>4</v>
      </c>
      <c r="E373" s="3" t="inlineStr">
        <is>
          <t>CH</t>
        </is>
      </c>
      <c r="F373" s="3" t="inlineStr">
        <is>
          <t>(E)N</t>
        </is>
      </c>
      <c r="G373" s="3">
        <f>IFERROR(IF(INDEX('HMM Actors'!$B:$B,MATCH(E373,'HMM Actors'!$A:$A,0))="","(not assigned)",INDEX('HMM Actors'!$B:$B,MATCH(E373,'HMM Actors'!$A:$A,0))),"(not assigned)")</f>
        <v/>
      </c>
      <c r="H373" s="3">
        <f>IFERROR(IF(INDEX('HMM Locations'!$B:$B,MATCH(F373,'HMM Locations'!$A:$A,0))="","(not assigned)",INDEX('HMM Locations'!$B:$B,MATCH(F373,'HMM Locations'!$A:$A,0))),"(not assigned)")</f>
        <v/>
      </c>
      <c r="I373" s="3">
        <f>IFERROR(IF(INDEX('HMM Locations'!$C:$G,MATCH(F373,'HMM Locations'!$A:$A,0),D373)="","(not assigned)",INDEX('HMM Locations'!$C:$G,MATCH(F373,'HMM Locations'!$A:$A,0),D373)),"(not assigned)")</f>
        <v/>
      </c>
      <c r="J373" s="3">
        <f>IF(COUNTIF(G373:I373,"(not assigned)")=0,"Ready","Needs grid entry")</f>
        <v/>
      </c>
      <c r="K373" s="3" t="inlineStr"/>
      <c r="L373" s="3" t="inlineStr">
        <is>
          <t>衬衫</t>
        </is>
      </c>
    </row>
    <row r="374" ht="15.75" customHeight="1" s="9">
      <c r="A374" s="7" t="inlineStr">
        <is>
          <t>成</t>
        </is>
      </c>
      <c r="B374" s="7" t="n">
        <v>3</v>
      </c>
      <c r="C374" s="3" t="inlineStr">
        <is>
          <t>chéng</t>
        </is>
      </c>
      <c r="D374" s="3" t="n">
        <v>2</v>
      </c>
      <c r="E374" s="3" t="inlineStr">
        <is>
          <t>CH</t>
        </is>
      </c>
      <c r="F374" s="3" t="inlineStr">
        <is>
          <t>(E)NG</t>
        </is>
      </c>
      <c r="G374" s="3">
        <f>IFERROR(IF(INDEX('HMM Actors'!$B:$B,MATCH(E374,'HMM Actors'!$A:$A,0))="","(not assigned)",INDEX('HMM Actors'!$B:$B,MATCH(E374,'HMM Actors'!$A:$A,0))),"(not assigned)")</f>
        <v/>
      </c>
      <c r="H374" s="3">
        <f>IFERROR(IF(INDEX('HMM Locations'!$B:$B,MATCH(F374,'HMM Locations'!$A:$A,0))="","(not assigned)",INDEX('HMM Locations'!$B:$B,MATCH(F374,'HMM Locations'!$A:$A,0))),"(not assigned)")</f>
        <v/>
      </c>
      <c r="I374" s="3">
        <f>IFERROR(IF(INDEX('HMM Locations'!$C:$G,MATCH(F374,'HMM Locations'!$A:$A,0),D374)="","(not assigned)",INDEX('HMM Locations'!$C:$G,MATCH(F374,'HMM Locations'!$A:$A,0),D374)),"(not assigned)")</f>
        <v/>
      </c>
      <c r="J374" s="3">
        <f>IF(COUNTIF(G374:I374,"(not assigned)")=0,"Ready","Needs grid entry")</f>
        <v/>
      </c>
      <c r="K374" s="3" t="inlineStr"/>
      <c r="L374" s="3" t="inlineStr">
        <is>
          <t>成绩、完成</t>
        </is>
      </c>
    </row>
    <row r="375" ht="15.75" customHeight="1" s="9">
      <c r="A375" s="7" t="inlineStr">
        <is>
          <t>城</t>
        </is>
      </c>
      <c r="B375" s="7" t="n">
        <v>3</v>
      </c>
      <c r="C375" s="3" t="inlineStr">
        <is>
          <t>chéng</t>
        </is>
      </c>
      <c r="D375" s="3" t="n">
        <v>2</v>
      </c>
      <c r="E375" s="3" t="inlineStr">
        <is>
          <t>CH</t>
        </is>
      </c>
      <c r="F375" s="3" t="inlineStr">
        <is>
          <t>(E)NG</t>
        </is>
      </c>
      <c r="G375" s="3">
        <f>IFERROR(IF(INDEX('HMM Actors'!$B:$B,MATCH(E375,'HMM Actors'!$A:$A,0))="","(not assigned)",INDEX('HMM Actors'!$B:$B,MATCH(E375,'HMM Actors'!$A:$A,0))),"(not assigned)")</f>
        <v/>
      </c>
      <c r="H375" s="3">
        <f>IFERROR(IF(INDEX('HMM Locations'!$B:$B,MATCH(F375,'HMM Locations'!$A:$A,0))="","(not assigned)",INDEX('HMM Locations'!$B:$B,MATCH(F375,'HMM Locations'!$A:$A,0))),"(not assigned)")</f>
        <v/>
      </c>
      <c r="I375" s="3">
        <f>IFERROR(IF(INDEX('HMM Locations'!$C:$G,MATCH(F375,'HMM Locations'!$A:$A,0),D375)="","(not assigned)",INDEX('HMM Locations'!$C:$G,MATCH(F375,'HMM Locations'!$A:$A,0),D375)),"(not assigned)")</f>
        <v/>
      </c>
      <c r="J375" s="3">
        <f>IF(COUNTIF(G375:I375,"(not assigned)")=0,"Ready","Needs grid entry")</f>
        <v/>
      </c>
      <c r="K375" s="3" t="inlineStr"/>
      <c r="L375" s="3" t="inlineStr">
        <is>
          <t>城市</t>
        </is>
      </c>
    </row>
    <row r="376" ht="15.75" customHeight="1" s="9">
      <c r="A376" s="7" t="inlineStr">
        <is>
          <t>迟</t>
        </is>
      </c>
      <c r="B376" s="7" t="n">
        <v>3</v>
      </c>
      <c r="C376" s="3" t="inlineStr">
        <is>
          <t>chí</t>
        </is>
      </c>
      <c r="D376" s="3" t="n">
        <v>2</v>
      </c>
      <c r="E376" s="3" t="inlineStr">
        <is>
          <t>CH</t>
        </is>
      </c>
      <c r="F376" s="3" t="inlineStr">
        <is>
          <t>Ø (no final)</t>
        </is>
      </c>
      <c r="G376" s="3">
        <f>IFERROR(IF(INDEX('HMM Actors'!$B:$B,MATCH(E376,'HMM Actors'!$A:$A,0))="","(not assigned)",INDEX('HMM Actors'!$B:$B,MATCH(E376,'HMM Actors'!$A:$A,0))),"(not assigned)")</f>
        <v/>
      </c>
      <c r="H376" s="3">
        <f>IFERROR(IF(INDEX('HMM Locations'!$B:$B,MATCH(F376,'HMM Locations'!$A:$A,0))="","(not assigned)",INDEX('HMM Locations'!$B:$B,MATCH(F376,'HMM Locations'!$A:$A,0))),"(not assigned)")</f>
        <v/>
      </c>
      <c r="I376" s="3">
        <f>IFERROR(IF(INDEX('HMM Locations'!$C:$G,MATCH(F376,'HMM Locations'!$A:$A,0),D376)="","(not assigned)",INDEX('HMM Locations'!$C:$G,MATCH(F376,'HMM Locations'!$A:$A,0),D376)),"(not assigned)")</f>
        <v/>
      </c>
      <c r="J376" s="3">
        <f>IF(COUNTIF(G376:I376,"(not assigned)")=0,"Ready","Needs grid entry")</f>
        <v/>
      </c>
      <c r="K376" s="3" t="inlineStr"/>
      <c r="L376" s="3" t="inlineStr">
        <is>
          <t>迟到</t>
        </is>
      </c>
    </row>
    <row r="377" ht="15.75" customHeight="1" s="9">
      <c r="A377" s="7" t="inlineStr">
        <is>
          <t>除</t>
        </is>
      </c>
      <c r="B377" s="7" t="n">
        <v>3</v>
      </c>
      <c r="C377" s="3" t="inlineStr">
        <is>
          <t>chú</t>
        </is>
      </c>
      <c r="D377" s="3" t="n">
        <v>2</v>
      </c>
      <c r="E377" s="3" t="inlineStr">
        <is>
          <t>CH</t>
        </is>
      </c>
      <c r="F377" s="3" t="inlineStr">
        <is>
          <t>U</t>
        </is>
      </c>
      <c r="G377" s="3">
        <f>IFERROR(IF(INDEX('HMM Actors'!$B:$B,MATCH(E377,'HMM Actors'!$A:$A,0))="","(not assigned)",INDEX('HMM Actors'!$B:$B,MATCH(E377,'HMM Actors'!$A:$A,0))),"(not assigned)")</f>
        <v/>
      </c>
      <c r="H377" s="3">
        <f>IFERROR(IF(INDEX('HMM Locations'!$B:$B,MATCH(F377,'HMM Locations'!$A:$A,0))="","(not assigned)",INDEX('HMM Locations'!$B:$B,MATCH(F377,'HMM Locations'!$A:$A,0))),"(not assigned)")</f>
        <v/>
      </c>
      <c r="I377" s="3">
        <f>IFERROR(IF(INDEX('HMM Locations'!$C:$G,MATCH(F377,'HMM Locations'!$A:$A,0),D377)="","(not assigned)",INDEX('HMM Locations'!$C:$G,MATCH(F377,'HMM Locations'!$A:$A,0),D377)),"(not assigned)")</f>
        <v/>
      </c>
      <c r="J377" s="3">
        <f>IF(COUNTIF(G377:I377,"(not assigned)")=0,"Ready","Needs grid entry")</f>
        <v/>
      </c>
      <c r="K377" s="3" t="inlineStr"/>
      <c r="L377" s="3" t="inlineStr">
        <is>
          <t>除了</t>
        </is>
      </c>
    </row>
    <row r="378" ht="15.75" customHeight="1" s="9">
      <c r="A378" s="7" t="inlineStr">
        <is>
          <t>楚</t>
        </is>
      </c>
      <c r="B378" s="7" t="n">
        <v>3</v>
      </c>
      <c r="C378" s="3" t="inlineStr">
        <is>
          <t>chǔ</t>
        </is>
      </c>
      <c r="D378" s="3" t="n">
        <v>3</v>
      </c>
      <c r="E378" s="3" t="inlineStr">
        <is>
          <t>CH</t>
        </is>
      </c>
      <c r="F378" s="3" t="inlineStr">
        <is>
          <t>U</t>
        </is>
      </c>
      <c r="G378" s="3">
        <f>IFERROR(IF(INDEX('HMM Actors'!$B:$B,MATCH(E378,'HMM Actors'!$A:$A,0))="","(not assigned)",INDEX('HMM Actors'!$B:$B,MATCH(E378,'HMM Actors'!$A:$A,0))),"(not assigned)")</f>
        <v/>
      </c>
      <c r="H378" s="3">
        <f>IFERROR(IF(INDEX('HMM Locations'!$B:$B,MATCH(F378,'HMM Locations'!$A:$A,0))="","(not assigned)",INDEX('HMM Locations'!$B:$B,MATCH(F378,'HMM Locations'!$A:$A,0))),"(not assigned)")</f>
        <v/>
      </c>
      <c r="I378" s="3">
        <f>IFERROR(IF(INDEX('HMM Locations'!$C:$G,MATCH(F378,'HMM Locations'!$A:$A,0),D378)="","(not assigned)",INDEX('HMM Locations'!$C:$G,MATCH(F378,'HMM Locations'!$A:$A,0),D378)),"(not assigned)")</f>
        <v/>
      </c>
      <c r="J378" s="3">
        <f>IF(COUNTIF(G378:I378,"(not assigned)")=0,"Ready","Needs grid entry")</f>
        <v/>
      </c>
      <c r="K378" s="3" t="inlineStr"/>
      <c r="L378" s="3" t="inlineStr">
        <is>
          <t>清楚</t>
        </is>
      </c>
    </row>
    <row r="379" ht="15.75" customHeight="1" s="9">
      <c r="A379" s="7" t="inlineStr">
        <is>
          <t>船</t>
        </is>
      </c>
      <c r="B379" s="7" t="n">
        <v>3</v>
      </c>
      <c r="C379" s="3" t="inlineStr">
        <is>
          <t>chuán</t>
        </is>
      </c>
      <c r="D379" s="3" t="n">
        <v>2</v>
      </c>
      <c r="E379" s="3" t="inlineStr">
        <is>
          <t>CH</t>
        </is>
      </c>
      <c r="F379" s="3" t="inlineStr">
        <is>
          <t>UAN (14th, Jacob-specific)</t>
        </is>
      </c>
      <c r="G379" s="3">
        <f>IFERROR(IF(INDEX('HMM Actors'!$B:$B,MATCH(E379,'HMM Actors'!$A:$A,0))="","(not assigned)",INDEX('HMM Actors'!$B:$B,MATCH(E379,'HMM Actors'!$A:$A,0))),"(not assigned)")</f>
        <v/>
      </c>
      <c r="H379" s="3">
        <f>IFERROR(IF(INDEX('HMM Locations'!$B:$B,MATCH(F379,'HMM Locations'!$A:$A,0))="","(not assigned)",INDEX('HMM Locations'!$B:$B,MATCH(F379,'HMM Locations'!$A:$A,0))),"(not assigned)")</f>
        <v/>
      </c>
      <c r="I379" s="3">
        <f>IFERROR(IF(INDEX('HMM Locations'!$C:$G,MATCH(F379,'HMM Locations'!$A:$A,0),D379)="","(not assigned)",INDEX('HMM Locations'!$C:$G,MATCH(F379,'HMM Locations'!$A:$A,0),D379)),"(not assigned)")</f>
        <v/>
      </c>
      <c r="J379" s="3">
        <f>IF(COUNTIF(G379:I379,"(not assigned)")=0,"Ready","Needs grid entry")</f>
        <v/>
      </c>
      <c r="K379" s="3" t="inlineStr"/>
      <c r="L379" s="3" t="inlineStr">
        <is>
          <t>船</t>
        </is>
      </c>
    </row>
    <row r="380" ht="15.75" customHeight="1" s="9">
      <c r="A380" s="7" t="inlineStr">
        <is>
          <t>春</t>
        </is>
      </c>
      <c r="B380" s="7" t="n">
        <v>3</v>
      </c>
      <c r="C380" s="3" t="inlineStr">
        <is>
          <t>chūn</t>
        </is>
      </c>
      <c r="D380" s="3" t="n">
        <v>1</v>
      </c>
      <c r="E380" s="3" t="inlineStr">
        <is>
          <t>CH</t>
        </is>
      </c>
      <c r="F380" s="3" t="inlineStr">
        <is>
          <t>UN</t>
        </is>
      </c>
      <c r="G380" s="3">
        <f>IFERROR(IF(INDEX('HMM Actors'!$B:$B,MATCH(E380,'HMM Actors'!$A:$A,0))="","(not assigned)",INDEX('HMM Actors'!$B:$B,MATCH(E380,'HMM Actors'!$A:$A,0))),"(not assigned)")</f>
        <v/>
      </c>
      <c r="H380" s="3">
        <f>IFERROR(IF(INDEX('HMM Locations'!$B:$B,MATCH(F380,'HMM Locations'!$A:$A,0))="","(not assigned)",INDEX('HMM Locations'!$B:$B,MATCH(F380,'HMM Locations'!$A:$A,0))),"(not assigned)")</f>
        <v/>
      </c>
      <c r="I380" s="3">
        <f>IFERROR(IF(INDEX('HMM Locations'!$C:$G,MATCH(F380,'HMM Locations'!$A:$A,0),D380)="","(not assigned)",INDEX('HMM Locations'!$C:$G,MATCH(F380,'HMM Locations'!$A:$A,0),D380)),"(not assigned)")</f>
        <v/>
      </c>
      <c r="J380" s="3">
        <f>IF(COUNTIF(G380:I380,"(not assigned)")=0,"Ready","Needs grid entry")</f>
        <v/>
      </c>
      <c r="K380" s="3" t="inlineStr"/>
      <c r="L380" s="3" t="inlineStr">
        <is>
          <t>春</t>
        </is>
      </c>
    </row>
    <row r="381" ht="15.75" customHeight="1" s="9">
      <c r="A381" s="7" t="inlineStr">
        <is>
          <t>词</t>
        </is>
      </c>
      <c r="B381" s="7" t="n">
        <v>3</v>
      </c>
      <c r="C381" s="3" t="inlineStr">
        <is>
          <t>cí</t>
        </is>
      </c>
      <c r="D381" s="3" t="n">
        <v>2</v>
      </c>
      <c r="E381" s="3" t="inlineStr">
        <is>
          <t>C</t>
        </is>
      </c>
      <c r="F381" s="3" t="inlineStr">
        <is>
          <t>Ø (no final)</t>
        </is>
      </c>
      <c r="G381" s="3">
        <f>IFERROR(IF(INDEX('HMM Actors'!$B:$B,MATCH(E381,'HMM Actors'!$A:$A,0))="","(not assigned)",INDEX('HMM Actors'!$B:$B,MATCH(E381,'HMM Actors'!$A:$A,0))),"(not assigned)")</f>
        <v/>
      </c>
      <c r="H381" s="3">
        <f>IFERROR(IF(INDEX('HMM Locations'!$B:$B,MATCH(F381,'HMM Locations'!$A:$A,0))="","(not assigned)",INDEX('HMM Locations'!$B:$B,MATCH(F381,'HMM Locations'!$A:$A,0))),"(not assigned)")</f>
        <v/>
      </c>
      <c r="I381" s="3">
        <f>IFERROR(IF(INDEX('HMM Locations'!$C:$G,MATCH(F381,'HMM Locations'!$A:$A,0),D381)="","(not assigned)",INDEX('HMM Locations'!$C:$G,MATCH(F381,'HMM Locations'!$A:$A,0),D381)),"(not assigned)")</f>
        <v/>
      </c>
      <c r="J381" s="3">
        <f>IF(COUNTIF(G381:I381,"(not assigned)")=0,"Ready","Needs grid entry")</f>
        <v/>
      </c>
      <c r="K381" s="3" t="inlineStr"/>
      <c r="L381" s="3" t="inlineStr">
        <is>
          <t>词典</t>
        </is>
      </c>
    </row>
    <row r="382" ht="15.75" customHeight="1" s="9">
      <c r="A382" s="7" t="inlineStr">
        <is>
          <t>聪</t>
        </is>
      </c>
      <c r="B382" s="7" t="n">
        <v>3</v>
      </c>
      <c r="C382" s="3" t="inlineStr">
        <is>
          <t>cōng</t>
        </is>
      </c>
      <c r="D382" s="3" t="n">
        <v>1</v>
      </c>
      <c r="E382" s="3" t="inlineStr">
        <is>
          <t>C</t>
        </is>
      </c>
      <c r="F382" s="3" t="inlineStr">
        <is>
          <t>ONG</t>
        </is>
      </c>
      <c r="G382" s="3">
        <f>IFERROR(IF(INDEX('HMM Actors'!$B:$B,MATCH(E382,'HMM Actors'!$A:$A,0))="","(not assigned)",INDEX('HMM Actors'!$B:$B,MATCH(E382,'HMM Actors'!$A:$A,0))),"(not assigned)")</f>
        <v/>
      </c>
      <c r="H382" s="3">
        <f>IFERROR(IF(INDEX('HMM Locations'!$B:$B,MATCH(F382,'HMM Locations'!$A:$A,0))="","(not assigned)",INDEX('HMM Locations'!$B:$B,MATCH(F382,'HMM Locations'!$A:$A,0))),"(not assigned)")</f>
        <v/>
      </c>
      <c r="I382" s="3">
        <f>IFERROR(IF(INDEX('HMM Locations'!$C:$G,MATCH(F382,'HMM Locations'!$A:$A,0),D382)="","(not assigned)",INDEX('HMM Locations'!$C:$G,MATCH(F382,'HMM Locations'!$A:$A,0),D382)),"(not assigned)")</f>
        <v/>
      </c>
      <c r="J382" s="3">
        <f>IF(COUNTIF(G382:I382,"(not assigned)")=0,"Ready","Needs grid entry")</f>
        <v/>
      </c>
      <c r="K382" s="3" t="inlineStr"/>
      <c r="L382" s="3" t="inlineStr">
        <is>
          <t>聪明</t>
        </is>
      </c>
    </row>
    <row r="383" ht="15.75" customHeight="1" s="9">
      <c r="A383" s="7" t="inlineStr">
        <is>
          <t>答</t>
        </is>
      </c>
      <c r="B383" s="7" t="n">
        <v>3</v>
      </c>
      <c r="C383" s="3" t="inlineStr">
        <is>
          <t>dá</t>
        </is>
      </c>
      <c r="D383" s="3" t="n">
        <v>2</v>
      </c>
      <c r="E383" s="3" t="inlineStr">
        <is>
          <t>D</t>
        </is>
      </c>
      <c r="F383" s="3" t="inlineStr">
        <is>
          <t>A</t>
        </is>
      </c>
      <c r="G383" s="3">
        <f>IFERROR(IF(INDEX('HMM Actors'!$B:$B,MATCH(E383,'HMM Actors'!$A:$A,0))="","(not assigned)",INDEX('HMM Actors'!$B:$B,MATCH(E383,'HMM Actors'!$A:$A,0))),"(not assigned)")</f>
        <v/>
      </c>
      <c r="H383" s="3">
        <f>IFERROR(IF(INDEX('HMM Locations'!$B:$B,MATCH(F383,'HMM Locations'!$A:$A,0))="","(not assigned)",INDEX('HMM Locations'!$B:$B,MATCH(F383,'HMM Locations'!$A:$A,0))),"(not assigned)")</f>
        <v/>
      </c>
      <c r="I383" s="3">
        <f>IFERROR(IF(INDEX('HMM Locations'!$C:$G,MATCH(F383,'HMM Locations'!$A:$A,0),D383)="","(not assigned)",INDEX('HMM Locations'!$C:$G,MATCH(F383,'HMM Locations'!$A:$A,0),D383)),"(not assigned)")</f>
        <v/>
      </c>
      <c r="J383" s="3">
        <f>IF(COUNTIF(G383:I383,"(not assigned)")=0,"Ready","Needs grid entry")</f>
        <v/>
      </c>
      <c r="K383" s="3" t="inlineStr"/>
      <c r="L383" s="3" t="inlineStr">
        <is>
          <t>回答</t>
        </is>
      </c>
    </row>
    <row r="384" ht="15.75" customHeight="1" s="9">
      <c r="A384" s="7" t="inlineStr">
        <is>
          <t>带</t>
        </is>
      </c>
      <c r="B384" s="7" t="n">
        <v>3</v>
      </c>
      <c r="C384" s="3" t="inlineStr">
        <is>
          <t>dài</t>
        </is>
      </c>
      <c r="D384" s="3" t="n">
        <v>4</v>
      </c>
      <c r="E384" s="3" t="inlineStr">
        <is>
          <t>D</t>
        </is>
      </c>
      <c r="F384" s="3" t="inlineStr">
        <is>
          <t>AI</t>
        </is>
      </c>
      <c r="G384" s="3">
        <f>IFERROR(IF(INDEX('HMM Actors'!$B:$B,MATCH(E384,'HMM Actors'!$A:$A,0))="","(not assigned)",INDEX('HMM Actors'!$B:$B,MATCH(E384,'HMM Actors'!$A:$A,0))),"(not assigned)")</f>
        <v/>
      </c>
      <c r="H384" s="3">
        <f>IFERROR(IF(INDEX('HMM Locations'!$B:$B,MATCH(F384,'HMM Locations'!$A:$A,0))="","(not assigned)",INDEX('HMM Locations'!$B:$B,MATCH(F384,'HMM Locations'!$A:$A,0))),"(not assigned)")</f>
        <v/>
      </c>
      <c r="I384" s="3">
        <f>IFERROR(IF(INDEX('HMM Locations'!$C:$G,MATCH(F384,'HMM Locations'!$A:$A,0),D384)="","(not assigned)",INDEX('HMM Locations'!$C:$G,MATCH(F384,'HMM Locations'!$A:$A,0),D384)),"(not assigned)")</f>
        <v/>
      </c>
      <c r="J384" s="3">
        <f>IF(COUNTIF(G384:I384,"(not assigned)")=0,"Ready","Needs grid entry")</f>
        <v/>
      </c>
      <c r="K384" s="3" t="inlineStr"/>
      <c r="L384" s="3" t="inlineStr">
        <is>
          <t>带</t>
        </is>
      </c>
    </row>
    <row r="385" ht="15.75" customHeight="1" s="9">
      <c r="A385" s="7" t="inlineStr">
        <is>
          <t>单</t>
        </is>
      </c>
      <c r="B385" s="7" t="n">
        <v>3</v>
      </c>
      <c r="C385" s="3" t="inlineStr">
        <is>
          <t>dān</t>
        </is>
      </c>
      <c r="D385" s="3" t="n">
        <v>1</v>
      </c>
      <c r="E385" s="3" t="inlineStr">
        <is>
          <t>D</t>
        </is>
      </c>
      <c r="F385" s="3" t="inlineStr">
        <is>
          <t>AN</t>
        </is>
      </c>
      <c r="G385" s="3">
        <f>IFERROR(IF(INDEX('HMM Actors'!$B:$B,MATCH(E385,'HMM Actors'!$A:$A,0))="","(not assigned)",INDEX('HMM Actors'!$B:$B,MATCH(E385,'HMM Actors'!$A:$A,0))),"(not assigned)")</f>
        <v/>
      </c>
      <c r="H385" s="3">
        <f>IFERROR(IF(INDEX('HMM Locations'!$B:$B,MATCH(F385,'HMM Locations'!$A:$A,0))="","(not assigned)",INDEX('HMM Locations'!$B:$B,MATCH(F385,'HMM Locations'!$A:$A,0))),"(not assigned)")</f>
        <v/>
      </c>
      <c r="I385" s="3">
        <f>IFERROR(IF(INDEX('HMM Locations'!$C:$G,MATCH(F385,'HMM Locations'!$A:$A,0),D385)="","(not assigned)",INDEX('HMM Locations'!$C:$G,MATCH(F385,'HMM Locations'!$A:$A,0),D385)),"(not assigned)")</f>
        <v/>
      </c>
      <c r="J385" s="3">
        <f>IF(COUNTIF(G385:I385,"(not assigned)")=0,"Ready","Needs grid entry")</f>
        <v/>
      </c>
      <c r="K385" s="3" t="inlineStr"/>
      <c r="L385" s="3" t="inlineStr">
        <is>
          <t>菜单、简单</t>
        </is>
      </c>
    </row>
    <row r="386" ht="15.75" customHeight="1" s="9">
      <c r="A386" s="7" t="inlineStr">
        <is>
          <t>担</t>
        </is>
      </c>
      <c r="B386" s="7" t="n">
        <v>3</v>
      </c>
      <c r="C386" s="3" t="inlineStr">
        <is>
          <t>dān</t>
        </is>
      </c>
      <c r="D386" s="3" t="n">
        <v>1</v>
      </c>
      <c r="E386" s="3" t="inlineStr">
        <is>
          <t>D</t>
        </is>
      </c>
      <c r="F386" s="3" t="inlineStr">
        <is>
          <t>AN</t>
        </is>
      </c>
      <c r="G386" s="3">
        <f>IFERROR(IF(INDEX('HMM Actors'!$B:$B,MATCH(E386,'HMM Actors'!$A:$A,0))="","(not assigned)",INDEX('HMM Actors'!$B:$B,MATCH(E386,'HMM Actors'!$A:$A,0))),"(not assigned)")</f>
        <v/>
      </c>
      <c r="H386" s="3">
        <f>IFERROR(IF(INDEX('HMM Locations'!$B:$B,MATCH(F386,'HMM Locations'!$A:$A,0))="","(not assigned)",INDEX('HMM Locations'!$B:$B,MATCH(F386,'HMM Locations'!$A:$A,0))),"(not assigned)")</f>
        <v/>
      </c>
      <c r="I386" s="3">
        <f>IFERROR(IF(INDEX('HMM Locations'!$C:$G,MATCH(F386,'HMM Locations'!$A:$A,0),D386)="","(not assigned)",INDEX('HMM Locations'!$C:$G,MATCH(F386,'HMM Locations'!$A:$A,0),D386)),"(not assigned)")</f>
        <v/>
      </c>
      <c r="J386" s="3">
        <f>IF(COUNTIF(G386:I386,"(not assigned)")=0,"Ready","Needs grid entry")</f>
        <v/>
      </c>
      <c r="K386" s="3" t="inlineStr"/>
      <c r="L386" s="3" t="inlineStr">
        <is>
          <t>担心</t>
        </is>
      </c>
    </row>
    <row r="387" ht="15.75" customHeight="1" s="9">
      <c r="A387" s="7" t="inlineStr">
        <is>
          <t>当</t>
        </is>
      </c>
      <c r="B387" s="7" t="n">
        <v>3</v>
      </c>
      <c r="C387" s="3" t="inlineStr">
        <is>
          <t>dāng</t>
        </is>
      </c>
      <c r="D387" s="3" t="n">
        <v>1</v>
      </c>
      <c r="E387" s="3" t="inlineStr">
        <is>
          <t>D</t>
        </is>
      </c>
      <c r="F387" s="3" t="inlineStr">
        <is>
          <t>ANG</t>
        </is>
      </c>
      <c r="G387" s="3">
        <f>IFERROR(IF(INDEX('HMM Actors'!$B:$B,MATCH(E387,'HMM Actors'!$A:$A,0))="","(not assigned)",INDEX('HMM Actors'!$B:$B,MATCH(E387,'HMM Actors'!$A:$A,0))),"(not assigned)")</f>
        <v/>
      </c>
      <c r="H387" s="3">
        <f>IFERROR(IF(INDEX('HMM Locations'!$B:$B,MATCH(F387,'HMM Locations'!$A:$A,0))="","(not assigned)",INDEX('HMM Locations'!$B:$B,MATCH(F387,'HMM Locations'!$A:$A,0))),"(not assigned)")</f>
        <v/>
      </c>
      <c r="I387" s="3">
        <f>IFERROR(IF(INDEX('HMM Locations'!$C:$G,MATCH(F387,'HMM Locations'!$A:$A,0),D387)="","(not assigned)",INDEX('HMM Locations'!$C:$G,MATCH(F387,'HMM Locations'!$A:$A,0),D387)),"(not assigned)")</f>
        <v/>
      </c>
      <c r="J387" s="3">
        <f>IF(COUNTIF(G387:I387,"(not assigned)")=0,"Ready","Needs grid entry")</f>
        <v/>
      </c>
      <c r="K387" s="3" t="inlineStr"/>
      <c r="L387" s="3" t="inlineStr">
        <is>
          <t>当然</t>
        </is>
      </c>
    </row>
    <row r="388" ht="15.75" customHeight="1" s="9">
      <c r="A388" s="7" t="inlineStr">
        <is>
          <t>地</t>
        </is>
      </c>
      <c r="B388" s="7" t="n">
        <v>3</v>
      </c>
      <c r="C388" s="3" t="inlineStr">
        <is>
          <t>dì</t>
        </is>
      </c>
      <c r="D388" s="3" t="n">
        <v>4</v>
      </c>
      <c r="E388" s="3" t="inlineStr">
        <is>
          <t>D</t>
        </is>
      </c>
      <c r="F388" s="3" t="inlineStr">
        <is>
          <t>I</t>
        </is>
      </c>
      <c r="G388" s="3">
        <f>IFERROR(IF(INDEX('HMM Actors'!$B:$B,MATCH(E388,'HMM Actors'!$A:$A,0))="","(not assigned)",INDEX('HMM Actors'!$B:$B,MATCH(E388,'HMM Actors'!$A:$A,0))),"(not assigned)")</f>
        <v/>
      </c>
      <c r="H388" s="3">
        <f>IFERROR(IF(INDEX('HMM Locations'!$B:$B,MATCH(F388,'HMM Locations'!$A:$A,0))="","(not assigned)",INDEX('HMM Locations'!$B:$B,MATCH(F388,'HMM Locations'!$A:$A,0))),"(not assigned)")</f>
        <v/>
      </c>
      <c r="I388" s="3">
        <f>IFERROR(IF(INDEX('HMM Locations'!$C:$G,MATCH(F388,'HMM Locations'!$A:$A,0),D388)="","(not assigned)",INDEX('HMM Locations'!$C:$G,MATCH(F388,'HMM Locations'!$A:$A,0),D388)),"(not assigned)")</f>
        <v/>
      </c>
      <c r="J388" s="3">
        <f>IF(COUNTIF(G388:I388,"(not assigned)")=0,"Ready","Needs grid entry")</f>
        <v/>
      </c>
      <c r="K388" s="3" t="inlineStr"/>
      <c r="L388" s="3" t="inlineStr">
        <is>
          <t>地、地方、地铁、地图</t>
        </is>
      </c>
    </row>
    <row r="389" ht="15.75" customHeight="1" s="9">
      <c r="A389" s="7" t="inlineStr">
        <is>
          <t>灯</t>
        </is>
      </c>
      <c r="B389" s="7" t="n">
        <v>3</v>
      </c>
      <c r="C389" s="3" t="inlineStr">
        <is>
          <t>dēng</t>
        </is>
      </c>
      <c r="D389" s="3" t="n">
        <v>1</v>
      </c>
      <c r="E389" s="3" t="inlineStr">
        <is>
          <t>D</t>
        </is>
      </c>
      <c r="F389" s="3" t="inlineStr">
        <is>
          <t>(E)NG</t>
        </is>
      </c>
      <c r="G389" s="3">
        <f>IFERROR(IF(INDEX('HMM Actors'!$B:$B,MATCH(E389,'HMM Actors'!$A:$A,0))="","(not assigned)",INDEX('HMM Actors'!$B:$B,MATCH(E389,'HMM Actors'!$A:$A,0))),"(not assigned)")</f>
        <v/>
      </c>
      <c r="H389" s="3">
        <f>IFERROR(IF(INDEX('HMM Locations'!$B:$B,MATCH(F389,'HMM Locations'!$A:$A,0))="","(not assigned)",INDEX('HMM Locations'!$B:$B,MATCH(F389,'HMM Locations'!$A:$A,0))),"(not assigned)")</f>
        <v/>
      </c>
      <c r="I389" s="3">
        <f>IFERROR(IF(INDEX('HMM Locations'!$C:$G,MATCH(F389,'HMM Locations'!$A:$A,0),D389)="","(not assigned)",INDEX('HMM Locations'!$C:$G,MATCH(F389,'HMM Locations'!$A:$A,0),D389)),"(not assigned)")</f>
        <v/>
      </c>
      <c r="J389" s="3">
        <f>IF(COUNTIF(G389:I389,"(not assigned)")=0,"Ready","Needs grid entry")</f>
        <v/>
      </c>
      <c r="K389" s="3" t="inlineStr"/>
      <c r="L389" s="3" t="inlineStr">
        <is>
          <t>灯</t>
        </is>
      </c>
    </row>
    <row r="390" ht="15.75" customHeight="1" s="9">
      <c r="A390" s="7" t="inlineStr">
        <is>
          <t>典</t>
        </is>
      </c>
      <c r="B390" s="7" t="n">
        <v>3</v>
      </c>
      <c r="C390" s="3" t="inlineStr">
        <is>
          <t>diǎn</t>
        </is>
      </c>
      <c r="D390" s="3" t="n">
        <v>3</v>
      </c>
      <c r="E390" s="3" t="inlineStr">
        <is>
          <t>D</t>
        </is>
      </c>
      <c r="F390" s="3" t="inlineStr">
        <is>
          <t>IAN</t>
        </is>
      </c>
      <c r="G390" s="3">
        <f>IFERROR(IF(INDEX('HMM Actors'!$B:$B,MATCH(E390,'HMM Actors'!$A:$A,0))="","(not assigned)",INDEX('HMM Actors'!$B:$B,MATCH(E390,'HMM Actors'!$A:$A,0))),"(not assigned)")</f>
        <v/>
      </c>
      <c r="H390" s="3">
        <f>IFERROR(IF(INDEX('HMM Locations'!$B:$B,MATCH(F390,'HMM Locations'!$A:$A,0))="","(not assigned)",INDEX('HMM Locations'!$B:$B,MATCH(F390,'HMM Locations'!$A:$A,0))),"(not assigned)")</f>
        <v/>
      </c>
      <c r="I390" s="3">
        <f>IFERROR(IF(INDEX('HMM Locations'!$C:$G,MATCH(F390,'HMM Locations'!$A:$A,0),D390)="","(not assigned)",INDEX('HMM Locations'!$C:$G,MATCH(F390,'HMM Locations'!$A:$A,0),D390)),"(not assigned)")</f>
        <v/>
      </c>
      <c r="J390" s="3">
        <f>IF(COUNTIF(G390:I390,"(not assigned)")=0,"Ready","Needs grid entry")</f>
        <v/>
      </c>
      <c r="K390" s="3" t="inlineStr"/>
      <c r="L390" s="3" t="inlineStr">
        <is>
          <t>词典</t>
        </is>
      </c>
    </row>
    <row r="391" ht="15.75" customHeight="1" s="9">
      <c r="A391" s="7" t="inlineStr">
        <is>
          <t>调</t>
        </is>
      </c>
      <c r="B391" s="7" t="n">
        <v>3</v>
      </c>
      <c r="C391" s="3" t="inlineStr">
        <is>
          <t>tiáo</t>
        </is>
      </c>
      <c r="D391" s="3" t="n">
        <v>2</v>
      </c>
      <c r="E391" s="3" t="inlineStr">
        <is>
          <t>T</t>
        </is>
      </c>
      <c r="F391" s="3" t="inlineStr">
        <is>
          <t>IAO</t>
        </is>
      </c>
      <c r="G391" s="3">
        <f>IFERROR(IF(INDEX('HMM Actors'!$B:$B,MATCH(E391,'HMM Actors'!$A:$A,0))="","(not assigned)",INDEX('HMM Actors'!$B:$B,MATCH(E391,'HMM Actors'!$A:$A,0))),"(not assigned)")</f>
        <v/>
      </c>
      <c r="H391" s="3">
        <f>IFERROR(IF(INDEX('HMM Locations'!$B:$B,MATCH(F391,'HMM Locations'!$A:$A,0))="","(not assigned)",INDEX('HMM Locations'!$B:$B,MATCH(F391,'HMM Locations'!$A:$A,0))),"(not assigned)")</f>
        <v/>
      </c>
      <c r="I391" s="3">
        <f>IFERROR(IF(INDEX('HMM Locations'!$C:$G,MATCH(F391,'HMM Locations'!$A:$A,0),D391)="","(not assigned)",INDEX('HMM Locations'!$C:$G,MATCH(F391,'HMM Locations'!$A:$A,0),D391)),"(not assigned)")</f>
        <v/>
      </c>
      <c r="J391" s="3">
        <f>IF(COUNTIF(G391:I391,"(not assigned)")=0,"Ready","Needs grid entry")</f>
        <v/>
      </c>
      <c r="K391" s="3" t="inlineStr"/>
      <c r="L391" s="3" t="inlineStr">
        <is>
          <t>空调</t>
        </is>
      </c>
    </row>
    <row r="392" ht="15.75" customHeight="1" s="9">
      <c r="A392" s="7" t="inlineStr">
        <is>
          <t>定</t>
        </is>
      </c>
      <c r="B392" s="7" t="n">
        <v>3</v>
      </c>
      <c r="C392" s="3" t="inlineStr">
        <is>
          <t>dìng</t>
        </is>
      </c>
      <c r="D392" s="3" t="n">
        <v>4</v>
      </c>
      <c r="E392" s="3" t="inlineStr">
        <is>
          <t>D</t>
        </is>
      </c>
      <c r="F392" s="3" t="inlineStr">
        <is>
          <t>ING</t>
        </is>
      </c>
      <c r="G392" s="3">
        <f>IFERROR(IF(INDEX('HMM Actors'!$B:$B,MATCH(E392,'HMM Actors'!$A:$A,0))="","(not assigned)",INDEX('HMM Actors'!$B:$B,MATCH(E392,'HMM Actors'!$A:$A,0))),"(not assigned)")</f>
        <v/>
      </c>
      <c r="H392" s="3">
        <f>IFERROR(IF(INDEX('HMM Locations'!$B:$B,MATCH(F392,'HMM Locations'!$A:$A,0))="","(not assigned)",INDEX('HMM Locations'!$B:$B,MATCH(F392,'HMM Locations'!$A:$A,0))),"(not assigned)")</f>
        <v/>
      </c>
      <c r="I392" s="3">
        <f>IFERROR(IF(INDEX('HMM Locations'!$C:$G,MATCH(F392,'HMM Locations'!$A:$A,0),D392)="","(not assigned)",INDEX('HMM Locations'!$C:$G,MATCH(F392,'HMM Locations'!$A:$A,0),D392)),"(not assigned)")</f>
        <v/>
      </c>
      <c r="J392" s="3">
        <f>IF(COUNTIF(G392:I392,"(not assigned)")=0,"Ready","Needs grid entry")</f>
        <v/>
      </c>
      <c r="K392" s="3" t="inlineStr"/>
      <c r="L392" s="3" t="inlineStr">
        <is>
          <t>决定、一定</t>
        </is>
      </c>
    </row>
    <row r="393" ht="15.75" customHeight="1" s="9">
      <c r="A393" s="7" t="inlineStr">
        <is>
          <t>冬</t>
        </is>
      </c>
      <c r="B393" s="7" t="n">
        <v>3</v>
      </c>
      <c r="C393" s="3" t="inlineStr">
        <is>
          <t>dōng</t>
        </is>
      </c>
      <c r="D393" s="3" t="n">
        <v>1</v>
      </c>
      <c r="E393" s="3" t="inlineStr">
        <is>
          <t>D</t>
        </is>
      </c>
      <c r="F393" s="3" t="inlineStr">
        <is>
          <t>ONG</t>
        </is>
      </c>
      <c r="G393" s="3">
        <f>IFERROR(IF(INDEX('HMM Actors'!$B:$B,MATCH(E393,'HMM Actors'!$A:$A,0))="","(not assigned)",INDEX('HMM Actors'!$B:$B,MATCH(E393,'HMM Actors'!$A:$A,0))),"(not assigned)")</f>
        <v/>
      </c>
      <c r="H393" s="3">
        <f>IFERROR(IF(INDEX('HMM Locations'!$B:$B,MATCH(F393,'HMM Locations'!$A:$A,0))="","(not assigned)",INDEX('HMM Locations'!$B:$B,MATCH(F393,'HMM Locations'!$A:$A,0))),"(not assigned)")</f>
        <v/>
      </c>
      <c r="I393" s="3">
        <f>IFERROR(IF(INDEX('HMM Locations'!$C:$G,MATCH(F393,'HMM Locations'!$A:$A,0),D393)="","(not assigned)",INDEX('HMM Locations'!$C:$G,MATCH(F393,'HMM Locations'!$A:$A,0),D393)),"(not assigned)")</f>
        <v/>
      </c>
      <c r="J393" s="3">
        <f>IF(COUNTIF(G393:I393,"(not assigned)")=0,"Ready","Needs grid entry")</f>
        <v/>
      </c>
      <c r="K393" s="3" t="inlineStr"/>
      <c r="L393" s="3" t="inlineStr">
        <is>
          <t>冬</t>
        </is>
      </c>
    </row>
    <row r="394" ht="15.75" customHeight="1" s="9">
      <c r="A394" s="7" t="inlineStr">
        <is>
          <t>短</t>
        </is>
      </c>
      <c r="B394" s="7" t="n">
        <v>3</v>
      </c>
      <c r="C394" s="3" t="inlineStr">
        <is>
          <t>duǎn</t>
        </is>
      </c>
      <c r="D394" s="3" t="n">
        <v>3</v>
      </c>
      <c r="E394" s="3" t="inlineStr">
        <is>
          <t>D</t>
        </is>
      </c>
      <c r="F394" s="3" t="inlineStr">
        <is>
          <t>UAN (14th, Jacob-specific)</t>
        </is>
      </c>
      <c r="G394" s="3">
        <f>IFERROR(IF(INDEX('HMM Actors'!$B:$B,MATCH(E394,'HMM Actors'!$A:$A,0))="","(not assigned)",INDEX('HMM Actors'!$B:$B,MATCH(E394,'HMM Actors'!$A:$A,0))),"(not assigned)")</f>
        <v/>
      </c>
      <c r="H394" s="3">
        <f>IFERROR(IF(INDEX('HMM Locations'!$B:$B,MATCH(F394,'HMM Locations'!$A:$A,0))="","(not assigned)",INDEX('HMM Locations'!$B:$B,MATCH(F394,'HMM Locations'!$A:$A,0))),"(not assigned)")</f>
        <v/>
      </c>
      <c r="I394" s="3">
        <f>IFERROR(IF(INDEX('HMM Locations'!$C:$G,MATCH(F394,'HMM Locations'!$A:$A,0),D394)="","(not assigned)",INDEX('HMM Locations'!$C:$G,MATCH(F394,'HMM Locations'!$A:$A,0),D394)),"(not assigned)")</f>
        <v/>
      </c>
      <c r="J394" s="3">
        <f>IF(COUNTIF(G394:I394,"(not assigned)")=0,"Ready","Needs grid entry")</f>
        <v/>
      </c>
      <c r="K394" s="3" t="inlineStr"/>
      <c r="L394" s="3" t="inlineStr">
        <is>
          <t>短</t>
        </is>
      </c>
    </row>
    <row r="395" ht="15.75" customHeight="1" s="9">
      <c r="A395" s="7" t="inlineStr">
        <is>
          <t>段</t>
        </is>
      </c>
      <c r="B395" s="7" t="n">
        <v>3</v>
      </c>
      <c r="C395" s="3" t="inlineStr">
        <is>
          <t>duàn</t>
        </is>
      </c>
      <c r="D395" s="3" t="n">
        <v>4</v>
      </c>
      <c r="E395" s="3" t="inlineStr">
        <is>
          <t>D</t>
        </is>
      </c>
      <c r="F395" s="3" t="inlineStr">
        <is>
          <t>UAN (14th, Jacob-specific)</t>
        </is>
      </c>
      <c r="G395" s="3">
        <f>IFERROR(IF(INDEX('HMM Actors'!$B:$B,MATCH(E395,'HMM Actors'!$A:$A,0))="","(not assigned)",INDEX('HMM Actors'!$B:$B,MATCH(E395,'HMM Actors'!$A:$A,0))),"(not assigned)")</f>
        <v/>
      </c>
      <c r="H395" s="3">
        <f>IFERROR(IF(INDEX('HMM Locations'!$B:$B,MATCH(F395,'HMM Locations'!$A:$A,0))="","(not assigned)",INDEX('HMM Locations'!$B:$B,MATCH(F395,'HMM Locations'!$A:$A,0))),"(not assigned)")</f>
        <v/>
      </c>
      <c r="I395" s="3">
        <f>IFERROR(IF(INDEX('HMM Locations'!$C:$G,MATCH(F395,'HMM Locations'!$A:$A,0),D395)="","(not assigned)",INDEX('HMM Locations'!$C:$G,MATCH(F395,'HMM Locations'!$A:$A,0),D395)),"(not assigned)")</f>
        <v/>
      </c>
      <c r="J395" s="3">
        <f>IF(COUNTIF(G395:I395,"(not assigned)")=0,"Ready","Needs grid entry")</f>
        <v/>
      </c>
      <c r="K395" s="3" t="inlineStr"/>
      <c r="L395" s="3" t="inlineStr">
        <is>
          <t>段</t>
        </is>
      </c>
    </row>
    <row r="396" ht="15.75" customHeight="1" s="9">
      <c r="A396" s="7" t="inlineStr">
        <is>
          <t>锻</t>
        </is>
      </c>
      <c r="B396" s="7" t="n">
        <v>3</v>
      </c>
      <c r="C396" s="3" t="inlineStr">
        <is>
          <t>duàn</t>
        </is>
      </c>
      <c r="D396" s="3" t="n">
        <v>4</v>
      </c>
      <c r="E396" s="3" t="inlineStr">
        <is>
          <t>D</t>
        </is>
      </c>
      <c r="F396" s="3" t="inlineStr">
        <is>
          <t>UAN (14th, Jacob-specific)</t>
        </is>
      </c>
      <c r="G396" s="3">
        <f>IFERROR(IF(INDEX('HMM Actors'!$B:$B,MATCH(E396,'HMM Actors'!$A:$A,0))="","(not assigned)",INDEX('HMM Actors'!$B:$B,MATCH(E396,'HMM Actors'!$A:$A,0))),"(not assigned)")</f>
        <v/>
      </c>
      <c r="H396" s="3">
        <f>IFERROR(IF(INDEX('HMM Locations'!$B:$B,MATCH(F396,'HMM Locations'!$A:$A,0))="","(not assigned)",INDEX('HMM Locations'!$B:$B,MATCH(F396,'HMM Locations'!$A:$A,0))),"(not assigned)")</f>
        <v/>
      </c>
      <c r="I396" s="3">
        <f>IFERROR(IF(INDEX('HMM Locations'!$C:$G,MATCH(F396,'HMM Locations'!$A:$A,0),D396)="","(not assigned)",INDEX('HMM Locations'!$C:$G,MATCH(F396,'HMM Locations'!$A:$A,0),D396)),"(not assigned)")</f>
        <v/>
      </c>
      <c r="J396" s="3">
        <f>IF(COUNTIF(G396:I396,"(not assigned)")=0,"Ready","Needs grid entry")</f>
        <v/>
      </c>
      <c r="K396" s="3" t="inlineStr"/>
      <c r="L396" s="3" t="inlineStr">
        <is>
          <t>锻炼</t>
        </is>
      </c>
    </row>
    <row r="397" ht="15.75" customHeight="1" s="9">
      <c r="A397" s="7" t="inlineStr">
        <is>
          <t>朵</t>
        </is>
      </c>
      <c r="B397" s="7" t="n">
        <v>3</v>
      </c>
      <c r="C397" s="3" t="inlineStr">
        <is>
          <t>duǒ</t>
        </is>
      </c>
      <c r="D397" s="3" t="n">
        <v>3</v>
      </c>
      <c r="E397" s="3" t="inlineStr">
        <is>
          <t>D</t>
        </is>
      </c>
      <c r="F397" s="3" t="inlineStr">
        <is>
          <t>UO</t>
        </is>
      </c>
      <c r="G397" s="3">
        <f>IFERROR(IF(INDEX('HMM Actors'!$B:$B,MATCH(E397,'HMM Actors'!$A:$A,0))="","(not assigned)",INDEX('HMM Actors'!$B:$B,MATCH(E397,'HMM Actors'!$A:$A,0))),"(not assigned)")</f>
        <v/>
      </c>
      <c r="H397" s="3">
        <f>IFERROR(IF(INDEX('HMM Locations'!$B:$B,MATCH(F397,'HMM Locations'!$A:$A,0))="","(not assigned)",INDEX('HMM Locations'!$B:$B,MATCH(F397,'HMM Locations'!$A:$A,0))),"(not assigned)")</f>
        <v/>
      </c>
      <c r="I397" s="3">
        <f>IFERROR(IF(INDEX('HMM Locations'!$C:$G,MATCH(F397,'HMM Locations'!$A:$A,0),D397)="","(not assigned)",INDEX('HMM Locations'!$C:$G,MATCH(F397,'HMM Locations'!$A:$A,0),D397)),"(not assigned)")</f>
        <v/>
      </c>
      <c r="J397" s="3">
        <f>IF(COUNTIF(G397:I397,"(not assigned)")=0,"Ready","Needs grid entry")</f>
        <v/>
      </c>
      <c r="K397" s="3" t="inlineStr"/>
      <c r="L397" s="3" t="inlineStr">
        <is>
          <t>耳朵</t>
        </is>
      </c>
    </row>
    <row r="398" ht="15.75" customHeight="1" s="9">
      <c r="A398" s="7" t="inlineStr">
        <is>
          <t>饿</t>
        </is>
      </c>
      <c r="B398" s="7" t="n">
        <v>3</v>
      </c>
      <c r="C398" s="3" t="inlineStr">
        <is>
          <t>è</t>
        </is>
      </c>
      <c r="D398" s="3" t="n">
        <v>4</v>
      </c>
      <c r="E398" s="3" t="inlineStr">
        <is>
          <t>Ø</t>
        </is>
      </c>
      <c r="F398" s="3" t="inlineStr">
        <is>
          <t>E</t>
        </is>
      </c>
      <c r="G398" s="3">
        <f>IFERROR(IF(INDEX('HMM Actors'!$B:$B,MATCH(E398,'HMM Actors'!$A:$A,0))="","(not assigned)",INDEX('HMM Actors'!$B:$B,MATCH(E398,'HMM Actors'!$A:$A,0))),"(not assigned)")</f>
        <v/>
      </c>
      <c r="H398" s="3">
        <f>IFERROR(IF(INDEX('HMM Locations'!$B:$B,MATCH(F398,'HMM Locations'!$A:$A,0))="","(not assigned)",INDEX('HMM Locations'!$B:$B,MATCH(F398,'HMM Locations'!$A:$A,0))),"(not assigned)")</f>
        <v/>
      </c>
      <c r="I398" s="3">
        <f>IFERROR(IF(INDEX('HMM Locations'!$C:$G,MATCH(F398,'HMM Locations'!$A:$A,0),D398)="","(not assigned)",INDEX('HMM Locations'!$C:$G,MATCH(F398,'HMM Locations'!$A:$A,0),D398)),"(not assigned)")</f>
        <v/>
      </c>
      <c r="J398" s="3">
        <f>IF(COUNTIF(G398:I398,"(not assigned)")=0,"Ready","Needs grid entry")</f>
        <v/>
      </c>
      <c r="K398" s="3" t="inlineStr"/>
      <c r="L398" s="3" t="inlineStr">
        <is>
          <t>饿</t>
        </is>
      </c>
    </row>
    <row r="399" ht="15.75" customHeight="1" s="9">
      <c r="A399" s="7" t="inlineStr">
        <is>
          <t>而</t>
        </is>
      </c>
      <c r="B399" s="7" t="n">
        <v>3</v>
      </c>
      <c r="C399" s="3" t="inlineStr">
        <is>
          <t>ér</t>
        </is>
      </c>
      <c r="D399" s="3" t="n">
        <v>2</v>
      </c>
      <c r="E399" s="3" t="inlineStr">
        <is>
          <t>Ø</t>
        </is>
      </c>
      <c r="F399" s="3" t="inlineStr">
        <is>
          <t>ER</t>
        </is>
      </c>
      <c r="G399" s="3">
        <f>IFERROR(IF(INDEX('HMM Actors'!$B:$B,MATCH(E399,'HMM Actors'!$A:$A,0))="","(not assigned)",INDEX('HMM Actors'!$B:$B,MATCH(E399,'HMM Actors'!$A:$A,0))),"(not assigned)")</f>
        <v/>
      </c>
      <c r="H399" s="3">
        <f>IFERROR(IF(INDEX('HMM Locations'!$B:$B,MATCH(F399,'HMM Locations'!$A:$A,0))="","(not assigned)",INDEX('HMM Locations'!$B:$B,MATCH(F399,'HMM Locations'!$A:$A,0))),"(not assigned)")</f>
        <v/>
      </c>
      <c r="I399" s="3">
        <f>IFERROR(IF(INDEX('HMM Locations'!$C:$G,MATCH(F399,'HMM Locations'!$A:$A,0),D399)="","(not assigned)",INDEX('HMM Locations'!$C:$G,MATCH(F399,'HMM Locations'!$A:$A,0),D399)),"(not assigned)")</f>
        <v/>
      </c>
      <c r="J399" s="3">
        <f>IF(COUNTIF(G399:I399,"(not assigned)")=0,"Ready","Needs grid entry")</f>
        <v/>
      </c>
      <c r="K399" s="3" t="inlineStr"/>
      <c r="L399" s="3" t="inlineStr">
        <is>
          <t>不但…而且…</t>
        </is>
      </c>
    </row>
    <row r="400" ht="15.75" customHeight="1" s="9">
      <c r="A400" s="7" t="inlineStr">
        <is>
          <t>耳</t>
        </is>
      </c>
      <c r="B400" s="7" t="n">
        <v>3</v>
      </c>
      <c r="C400" s="3" t="inlineStr">
        <is>
          <t>ěr</t>
        </is>
      </c>
      <c r="D400" s="3" t="n">
        <v>3</v>
      </c>
      <c r="E400" s="3" t="inlineStr">
        <is>
          <t>Ø</t>
        </is>
      </c>
      <c r="F400" s="3" t="inlineStr">
        <is>
          <t>ER</t>
        </is>
      </c>
      <c r="G400" s="3">
        <f>IFERROR(IF(INDEX('HMM Actors'!$B:$B,MATCH(E400,'HMM Actors'!$A:$A,0))="","(not assigned)",INDEX('HMM Actors'!$B:$B,MATCH(E400,'HMM Actors'!$A:$A,0))),"(not assigned)")</f>
        <v/>
      </c>
      <c r="H400" s="3">
        <f>IFERROR(IF(INDEX('HMM Locations'!$B:$B,MATCH(F400,'HMM Locations'!$A:$A,0))="","(not assigned)",INDEX('HMM Locations'!$B:$B,MATCH(F400,'HMM Locations'!$A:$A,0))),"(not assigned)")</f>
        <v/>
      </c>
      <c r="I400" s="3">
        <f>IFERROR(IF(INDEX('HMM Locations'!$C:$G,MATCH(F400,'HMM Locations'!$A:$A,0),D400)="","(not assigned)",INDEX('HMM Locations'!$C:$G,MATCH(F400,'HMM Locations'!$A:$A,0),D400)),"(not assigned)")</f>
        <v/>
      </c>
      <c r="J400" s="3">
        <f>IF(COUNTIF(G400:I400,"(not assigned)")=0,"Ready","Needs grid entry")</f>
        <v/>
      </c>
      <c r="K400" s="3" t="inlineStr"/>
      <c r="L400" s="3" t="inlineStr">
        <is>
          <t>耳朵</t>
        </is>
      </c>
    </row>
    <row r="401" ht="15.75" customHeight="1" s="9">
      <c r="A401" s="7" t="inlineStr">
        <is>
          <t>发</t>
        </is>
      </c>
      <c r="B401" s="7" t="n">
        <v>3</v>
      </c>
      <c r="C401" s="3" t="inlineStr">
        <is>
          <t>fā</t>
        </is>
      </c>
      <c r="D401" s="3" t="n">
        <v>1</v>
      </c>
      <c r="E401" s="3" t="inlineStr">
        <is>
          <t>F</t>
        </is>
      </c>
      <c r="F401" s="3" t="inlineStr">
        <is>
          <t>A</t>
        </is>
      </c>
      <c r="G401" s="3">
        <f>IFERROR(IF(INDEX('HMM Actors'!$B:$B,MATCH(E401,'HMM Actors'!$A:$A,0))="","(not assigned)",INDEX('HMM Actors'!$B:$B,MATCH(E401,'HMM Actors'!$A:$A,0))),"(not assigned)")</f>
        <v/>
      </c>
      <c r="H401" s="3">
        <f>IFERROR(IF(INDEX('HMM Locations'!$B:$B,MATCH(F401,'HMM Locations'!$A:$A,0))="","(not assigned)",INDEX('HMM Locations'!$B:$B,MATCH(F401,'HMM Locations'!$A:$A,0))),"(not assigned)")</f>
        <v/>
      </c>
      <c r="I401" s="3">
        <f>IFERROR(IF(INDEX('HMM Locations'!$C:$G,MATCH(F401,'HMM Locations'!$A:$A,0),D401)="","(not assigned)",INDEX('HMM Locations'!$C:$G,MATCH(F401,'HMM Locations'!$A:$A,0),D401)),"(not assigned)")</f>
        <v/>
      </c>
      <c r="J401" s="3">
        <f>IF(COUNTIF(G401:I401,"(not assigned)")=0,"Ready","Needs grid entry")</f>
        <v/>
      </c>
      <c r="K401" s="3" t="inlineStr"/>
      <c r="L401" s="3" t="inlineStr">
        <is>
          <t>发、发烧、发现、头发</t>
        </is>
      </c>
    </row>
    <row r="402" ht="15.75" customHeight="1" s="9">
      <c r="A402" s="7" t="inlineStr">
        <is>
          <t>法</t>
        </is>
      </c>
      <c r="B402" s="7" t="n">
        <v>3</v>
      </c>
      <c r="C402" s="3" t="inlineStr">
        <is>
          <t>fǎ</t>
        </is>
      </c>
      <c r="D402" s="3" t="n">
        <v>3</v>
      </c>
      <c r="E402" s="3" t="inlineStr">
        <is>
          <t>F</t>
        </is>
      </c>
      <c r="F402" s="3" t="inlineStr">
        <is>
          <t>A</t>
        </is>
      </c>
      <c r="G402" s="3">
        <f>IFERROR(IF(INDEX('HMM Actors'!$B:$B,MATCH(E402,'HMM Actors'!$A:$A,0))="","(not assigned)",INDEX('HMM Actors'!$B:$B,MATCH(E402,'HMM Actors'!$A:$A,0))),"(not assigned)")</f>
        <v/>
      </c>
      <c r="H402" s="3">
        <f>IFERROR(IF(INDEX('HMM Locations'!$B:$B,MATCH(F402,'HMM Locations'!$A:$A,0))="","(not assigned)",INDEX('HMM Locations'!$B:$B,MATCH(F402,'HMM Locations'!$A:$A,0))),"(not assigned)")</f>
        <v/>
      </c>
      <c r="I402" s="3">
        <f>IFERROR(IF(INDEX('HMM Locations'!$C:$G,MATCH(F402,'HMM Locations'!$A:$A,0),D402)="","(not assigned)",INDEX('HMM Locations'!$C:$G,MATCH(F402,'HMM Locations'!$A:$A,0),D402)),"(not assigned)")</f>
        <v/>
      </c>
      <c r="J402" s="3">
        <f>IF(COUNTIF(G402:I402,"(not assigned)")=0,"Ready","Needs grid entry")</f>
        <v/>
      </c>
      <c r="K402" s="3" t="inlineStr"/>
      <c r="L402" s="3" t="inlineStr">
        <is>
          <t>办法</t>
        </is>
      </c>
    </row>
    <row r="403" ht="15.75" customHeight="1" s="9">
      <c r="A403" s="7" t="inlineStr">
        <is>
          <t>方</t>
        </is>
      </c>
      <c r="B403" s="7" t="n">
        <v>3</v>
      </c>
      <c r="C403" s="3" t="inlineStr">
        <is>
          <t>fāng</t>
        </is>
      </c>
      <c r="D403" s="3" t="n">
        <v>1</v>
      </c>
      <c r="E403" s="3" t="inlineStr">
        <is>
          <t>F</t>
        </is>
      </c>
      <c r="F403" s="3" t="inlineStr">
        <is>
          <t>ANG</t>
        </is>
      </c>
      <c r="G403" s="3">
        <f>IFERROR(IF(INDEX('HMM Actors'!$B:$B,MATCH(E403,'HMM Actors'!$A:$A,0))="","(not assigned)",INDEX('HMM Actors'!$B:$B,MATCH(E403,'HMM Actors'!$A:$A,0))),"(not assigned)")</f>
        <v/>
      </c>
      <c r="H403" s="3">
        <f>IFERROR(IF(INDEX('HMM Locations'!$B:$B,MATCH(F403,'HMM Locations'!$A:$A,0))="","(not assigned)",INDEX('HMM Locations'!$B:$B,MATCH(F403,'HMM Locations'!$A:$A,0))),"(not assigned)")</f>
        <v/>
      </c>
      <c r="I403" s="3">
        <f>IFERROR(IF(INDEX('HMM Locations'!$C:$G,MATCH(F403,'HMM Locations'!$A:$A,0),D403)="","(not assigned)",INDEX('HMM Locations'!$C:$G,MATCH(F403,'HMM Locations'!$A:$A,0),D403)),"(not assigned)")</f>
        <v/>
      </c>
      <c r="J403" s="3">
        <f>IF(COUNTIF(G403:I403,"(not assigned)")=0,"Ready","Needs grid entry")</f>
        <v/>
      </c>
      <c r="K403" s="3" t="inlineStr"/>
      <c r="L403" s="3" t="inlineStr">
        <is>
          <t>北方、地方、方便</t>
        </is>
      </c>
    </row>
    <row r="404" ht="15.75" customHeight="1" s="9">
      <c r="A404" s="7" t="inlineStr">
        <is>
          <t>放</t>
        </is>
      </c>
      <c r="B404" s="7" t="n">
        <v>3</v>
      </c>
      <c r="C404" s="3" t="inlineStr">
        <is>
          <t>fàng</t>
        </is>
      </c>
      <c r="D404" s="3" t="n">
        <v>4</v>
      </c>
      <c r="E404" s="3" t="inlineStr">
        <is>
          <t>F</t>
        </is>
      </c>
      <c r="F404" s="3" t="inlineStr">
        <is>
          <t>ANG</t>
        </is>
      </c>
      <c r="G404" s="3">
        <f>IFERROR(IF(INDEX('HMM Actors'!$B:$B,MATCH(E404,'HMM Actors'!$A:$A,0))="","(not assigned)",INDEX('HMM Actors'!$B:$B,MATCH(E404,'HMM Actors'!$A:$A,0))),"(not assigned)")</f>
        <v/>
      </c>
      <c r="H404" s="3">
        <f>IFERROR(IF(INDEX('HMM Locations'!$B:$B,MATCH(F404,'HMM Locations'!$A:$A,0))="","(not assigned)",INDEX('HMM Locations'!$B:$B,MATCH(F404,'HMM Locations'!$A:$A,0))),"(not assigned)")</f>
        <v/>
      </c>
      <c r="I404" s="3">
        <f>IFERROR(IF(INDEX('HMM Locations'!$C:$G,MATCH(F404,'HMM Locations'!$A:$A,0),D404)="","(not assigned)",INDEX('HMM Locations'!$C:$G,MATCH(F404,'HMM Locations'!$A:$A,0),D404)),"(not assigned)")</f>
        <v/>
      </c>
      <c r="J404" s="3">
        <f>IF(COUNTIF(G404:I404,"(not assigned)")=0,"Ready","Needs grid entry")</f>
        <v/>
      </c>
      <c r="K404" s="3" t="inlineStr"/>
      <c r="L404" s="3" t="inlineStr">
        <is>
          <t>放、放心</t>
        </is>
      </c>
    </row>
    <row r="405" ht="15.75" customHeight="1" s="9">
      <c r="A405" s="7" t="inlineStr">
        <is>
          <t>风</t>
        </is>
      </c>
      <c r="B405" s="7" t="n">
        <v>3</v>
      </c>
      <c r="C405" s="3" t="inlineStr">
        <is>
          <t>fēng</t>
        </is>
      </c>
      <c r="D405" s="3" t="n">
        <v>1</v>
      </c>
      <c r="E405" s="3" t="inlineStr">
        <is>
          <t>F</t>
        </is>
      </c>
      <c r="F405" s="3" t="inlineStr">
        <is>
          <t>(E)NG</t>
        </is>
      </c>
      <c r="G405" s="3">
        <f>IFERROR(IF(INDEX('HMM Actors'!$B:$B,MATCH(E405,'HMM Actors'!$A:$A,0))="","(not assigned)",INDEX('HMM Actors'!$B:$B,MATCH(E405,'HMM Actors'!$A:$A,0))),"(not assigned)")</f>
        <v/>
      </c>
      <c r="H405" s="3">
        <f>IFERROR(IF(INDEX('HMM Locations'!$B:$B,MATCH(F405,'HMM Locations'!$A:$A,0))="","(not assigned)",INDEX('HMM Locations'!$B:$B,MATCH(F405,'HMM Locations'!$A:$A,0))),"(not assigned)")</f>
        <v/>
      </c>
      <c r="I405" s="3">
        <f>IFERROR(IF(INDEX('HMM Locations'!$C:$G,MATCH(F405,'HMM Locations'!$A:$A,0),D405)="","(not assigned)",INDEX('HMM Locations'!$C:$G,MATCH(F405,'HMM Locations'!$A:$A,0),D405)),"(not assigned)")</f>
        <v/>
      </c>
      <c r="J405" s="3">
        <f>IF(COUNTIF(G405:I405,"(not assigned)")=0,"Ready","Needs grid entry")</f>
        <v/>
      </c>
      <c r="K405" s="3" t="inlineStr"/>
      <c r="L405" s="3" t="inlineStr">
        <is>
          <t>刮风</t>
        </is>
      </c>
    </row>
    <row r="406" ht="15.75" customHeight="1" s="9">
      <c r="A406" s="7" t="inlineStr">
        <is>
          <t>附</t>
        </is>
      </c>
      <c r="B406" s="7" t="n">
        <v>3</v>
      </c>
      <c r="C406" s="3" t="inlineStr">
        <is>
          <t>fù</t>
        </is>
      </c>
      <c r="D406" s="3" t="n">
        <v>4</v>
      </c>
      <c r="E406" s="3" t="inlineStr">
        <is>
          <t>F</t>
        </is>
      </c>
      <c r="F406" s="3" t="inlineStr">
        <is>
          <t>U</t>
        </is>
      </c>
      <c r="G406" s="3">
        <f>IFERROR(IF(INDEX('HMM Actors'!$B:$B,MATCH(E406,'HMM Actors'!$A:$A,0))="","(not assigned)",INDEX('HMM Actors'!$B:$B,MATCH(E406,'HMM Actors'!$A:$A,0))),"(not assigned)")</f>
        <v/>
      </c>
      <c r="H406" s="3">
        <f>IFERROR(IF(INDEX('HMM Locations'!$B:$B,MATCH(F406,'HMM Locations'!$A:$A,0))="","(not assigned)",INDEX('HMM Locations'!$B:$B,MATCH(F406,'HMM Locations'!$A:$A,0))),"(not assigned)")</f>
        <v/>
      </c>
      <c r="I406" s="3">
        <f>IFERROR(IF(INDEX('HMM Locations'!$C:$G,MATCH(F406,'HMM Locations'!$A:$A,0),D406)="","(not assigned)",INDEX('HMM Locations'!$C:$G,MATCH(F406,'HMM Locations'!$A:$A,0),D406)),"(not assigned)")</f>
        <v/>
      </c>
      <c r="J406" s="3">
        <f>IF(COUNTIF(G406:I406,"(not assigned)")=0,"Ready","Needs grid entry")</f>
        <v/>
      </c>
      <c r="K406" s="3" t="inlineStr"/>
      <c r="L406" s="3" t="inlineStr">
        <is>
          <t>附近</t>
        </is>
      </c>
    </row>
    <row r="407" ht="15.75" customHeight="1" s="9">
      <c r="A407" s="7" t="inlineStr">
        <is>
          <t>复</t>
        </is>
      </c>
      <c r="B407" s="7" t="n">
        <v>3</v>
      </c>
      <c r="C407" s="3" t="inlineStr">
        <is>
          <t>fù</t>
        </is>
      </c>
      <c r="D407" s="3" t="n">
        <v>4</v>
      </c>
      <c r="E407" s="3" t="inlineStr">
        <is>
          <t>F</t>
        </is>
      </c>
      <c r="F407" s="3" t="inlineStr">
        <is>
          <t>U</t>
        </is>
      </c>
      <c r="G407" s="3">
        <f>IFERROR(IF(INDEX('HMM Actors'!$B:$B,MATCH(E407,'HMM Actors'!$A:$A,0))="","(not assigned)",INDEX('HMM Actors'!$B:$B,MATCH(E407,'HMM Actors'!$A:$A,0))),"(not assigned)")</f>
        <v/>
      </c>
      <c r="H407" s="3">
        <f>IFERROR(IF(INDEX('HMM Locations'!$B:$B,MATCH(F407,'HMM Locations'!$A:$A,0))="","(not assigned)",INDEX('HMM Locations'!$B:$B,MATCH(F407,'HMM Locations'!$A:$A,0))),"(not assigned)")</f>
        <v/>
      </c>
      <c r="I407" s="3">
        <f>IFERROR(IF(INDEX('HMM Locations'!$C:$G,MATCH(F407,'HMM Locations'!$A:$A,0),D407)="","(not assigned)",INDEX('HMM Locations'!$C:$G,MATCH(F407,'HMM Locations'!$A:$A,0),D407)),"(not assigned)")</f>
        <v/>
      </c>
      <c r="J407" s="3">
        <f>IF(COUNTIF(G407:I407,"(not assigned)")=0,"Ready","Needs grid entry")</f>
        <v/>
      </c>
      <c r="K407" s="3" t="inlineStr"/>
      <c r="L407" s="3" t="inlineStr">
        <is>
          <t>复习</t>
        </is>
      </c>
    </row>
    <row r="408" ht="15.75" customHeight="1" s="9">
      <c r="A408" s="7" t="inlineStr">
        <is>
          <t>该</t>
        </is>
      </c>
      <c r="B408" s="7" t="n">
        <v>3</v>
      </c>
      <c r="C408" s="3" t="inlineStr">
        <is>
          <t>gāi</t>
        </is>
      </c>
      <c r="D408" s="3" t="n">
        <v>1</v>
      </c>
      <c r="E408" s="3" t="inlineStr">
        <is>
          <t>G</t>
        </is>
      </c>
      <c r="F408" s="3" t="inlineStr">
        <is>
          <t>AI</t>
        </is>
      </c>
      <c r="G408" s="3">
        <f>IFERROR(IF(INDEX('HMM Actors'!$B:$B,MATCH(E408,'HMM Actors'!$A:$A,0))="","(not assigned)",INDEX('HMM Actors'!$B:$B,MATCH(E408,'HMM Actors'!$A:$A,0))),"(not assigned)")</f>
        <v/>
      </c>
      <c r="H408" s="3">
        <f>IFERROR(IF(INDEX('HMM Locations'!$B:$B,MATCH(F408,'HMM Locations'!$A:$A,0))="","(not assigned)",INDEX('HMM Locations'!$B:$B,MATCH(F408,'HMM Locations'!$A:$A,0))),"(not assigned)")</f>
        <v/>
      </c>
      <c r="I408" s="3">
        <f>IFERROR(IF(INDEX('HMM Locations'!$C:$G,MATCH(F408,'HMM Locations'!$A:$A,0),D408)="","(not assigned)",INDEX('HMM Locations'!$C:$G,MATCH(F408,'HMM Locations'!$A:$A,0),D408)),"(not assigned)")</f>
        <v/>
      </c>
      <c r="J408" s="3">
        <f>IF(COUNTIF(G408:I408,"(not assigned)")=0,"Ready","Needs grid entry")</f>
        <v/>
      </c>
      <c r="K408" s="3" t="inlineStr"/>
      <c r="L408" s="3" t="inlineStr">
        <is>
          <t>应该</t>
        </is>
      </c>
    </row>
    <row r="409" ht="15.75" customHeight="1" s="9">
      <c r="A409" s="7" t="inlineStr">
        <is>
          <t>感</t>
        </is>
      </c>
      <c r="B409" s="7" t="n">
        <v>3</v>
      </c>
      <c r="C409" s="3" t="inlineStr">
        <is>
          <t>gǎn</t>
        </is>
      </c>
      <c r="D409" s="3" t="n">
        <v>3</v>
      </c>
      <c r="E409" s="3" t="inlineStr">
        <is>
          <t>G</t>
        </is>
      </c>
      <c r="F409" s="3" t="inlineStr">
        <is>
          <t>AN</t>
        </is>
      </c>
      <c r="G409" s="3">
        <f>IFERROR(IF(INDEX('HMM Actors'!$B:$B,MATCH(E409,'HMM Actors'!$A:$A,0))="","(not assigned)",INDEX('HMM Actors'!$B:$B,MATCH(E409,'HMM Actors'!$A:$A,0))),"(not assigned)")</f>
        <v/>
      </c>
      <c r="H409" s="3">
        <f>IFERROR(IF(INDEX('HMM Locations'!$B:$B,MATCH(F409,'HMM Locations'!$A:$A,0))="","(not assigned)",INDEX('HMM Locations'!$B:$B,MATCH(F409,'HMM Locations'!$A:$A,0))),"(not assigned)")</f>
        <v/>
      </c>
      <c r="I409" s="3">
        <f>IFERROR(IF(INDEX('HMM Locations'!$C:$G,MATCH(F409,'HMM Locations'!$A:$A,0),D409)="","(not assigned)",INDEX('HMM Locations'!$C:$G,MATCH(F409,'HMM Locations'!$A:$A,0),D409)),"(not assigned)")</f>
        <v/>
      </c>
      <c r="J409" s="3">
        <f>IF(COUNTIF(G409:I409,"(not assigned)")=0,"Ready","Needs grid entry")</f>
        <v/>
      </c>
      <c r="K409" s="3" t="inlineStr"/>
      <c r="L409" s="3" t="inlineStr">
        <is>
          <t>感冒、感兴趣</t>
        </is>
      </c>
    </row>
    <row r="410" ht="15.75" customHeight="1" s="9">
      <c r="A410" s="7" t="inlineStr">
        <is>
          <t>干</t>
        </is>
      </c>
      <c r="B410" s="7" t="n">
        <v>3</v>
      </c>
      <c r="C410" s="3" t="inlineStr">
        <is>
          <t>gān</t>
        </is>
      </c>
      <c r="D410" s="3" t="n">
        <v>1</v>
      </c>
      <c r="E410" s="3" t="inlineStr">
        <is>
          <t>G</t>
        </is>
      </c>
      <c r="F410" s="3" t="inlineStr">
        <is>
          <t>AN</t>
        </is>
      </c>
      <c r="G410" s="3">
        <f>IFERROR(IF(INDEX('HMM Actors'!$B:$B,MATCH(E410,'HMM Actors'!$A:$A,0))="","(not assigned)",INDEX('HMM Actors'!$B:$B,MATCH(E410,'HMM Actors'!$A:$A,0))),"(not assigned)")</f>
        <v/>
      </c>
      <c r="H410" s="3">
        <f>IFERROR(IF(INDEX('HMM Locations'!$B:$B,MATCH(F410,'HMM Locations'!$A:$A,0))="","(not assigned)",INDEX('HMM Locations'!$B:$B,MATCH(F410,'HMM Locations'!$A:$A,0))),"(not assigned)")</f>
        <v/>
      </c>
      <c r="I410" s="3">
        <f>IFERROR(IF(INDEX('HMM Locations'!$C:$G,MATCH(F410,'HMM Locations'!$A:$A,0),D410)="","(not assigned)",INDEX('HMM Locations'!$C:$G,MATCH(F410,'HMM Locations'!$A:$A,0),D410)),"(not assigned)")</f>
        <v/>
      </c>
      <c r="J410" s="3">
        <f>IF(COUNTIF(G410:I410,"(not assigned)")=0,"Ready","Needs grid entry")</f>
        <v/>
      </c>
      <c r="K410" s="3" t="inlineStr"/>
      <c r="L410" s="3" t="inlineStr">
        <is>
          <t>干净</t>
        </is>
      </c>
    </row>
    <row r="411" ht="15.75" customHeight="1" s="9">
      <c r="A411" s="7" t="inlineStr">
        <is>
          <t>刚</t>
        </is>
      </c>
      <c r="B411" s="7" t="n">
        <v>3</v>
      </c>
      <c r="C411" s="3" t="inlineStr">
        <is>
          <t>gāng</t>
        </is>
      </c>
      <c r="D411" s="3" t="n">
        <v>1</v>
      </c>
      <c r="E411" s="3" t="inlineStr">
        <is>
          <t>G</t>
        </is>
      </c>
      <c r="F411" s="3" t="inlineStr">
        <is>
          <t>ANG</t>
        </is>
      </c>
      <c r="G411" s="3">
        <f>IFERROR(IF(INDEX('HMM Actors'!$B:$B,MATCH(E411,'HMM Actors'!$A:$A,0))="","(not assigned)",INDEX('HMM Actors'!$B:$B,MATCH(E411,'HMM Actors'!$A:$A,0))),"(not assigned)")</f>
        <v/>
      </c>
      <c r="H411" s="3">
        <f>IFERROR(IF(INDEX('HMM Locations'!$B:$B,MATCH(F411,'HMM Locations'!$A:$A,0))="","(not assigned)",INDEX('HMM Locations'!$B:$B,MATCH(F411,'HMM Locations'!$A:$A,0))),"(not assigned)")</f>
        <v/>
      </c>
      <c r="I411" s="3">
        <f>IFERROR(IF(INDEX('HMM Locations'!$C:$G,MATCH(F411,'HMM Locations'!$A:$A,0),D411)="","(not assigned)",INDEX('HMM Locations'!$C:$G,MATCH(F411,'HMM Locations'!$A:$A,0),D411)),"(not assigned)")</f>
        <v/>
      </c>
      <c r="J411" s="3">
        <f>IF(COUNTIF(G411:I411,"(not assigned)")=0,"Ready","Needs grid entry")</f>
        <v/>
      </c>
      <c r="K411" s="3" t="inlineStr"/>
      <c r="L411" s="3" t="inlineStr">
        <is>
          <t>刚才</t>
        </is>
      </c>
    </row>
    <row r="412" ht="15.75" customHeight="1" s="9">
      <c r="A412" s="7" t="inlineStr">
        <is>
          <t>糕</t>
        </is>
      </c>
      <c r="B412" s="7" t="n">
        <v>3</v>
      </c>
      <c r="C412" s="3" t="inlineStr">
        <is>
          <t>gāo</t>
        </is>
      </c>
      <c r="D412" s="3" t="n">
        <v>1</v>
      </c>
      <c r="E412" s="3" t="inlineStr">
        <is>
          <t>G</t>
        </is>
      </c>
      <c r="F412" s="3" t="inlineStr">
        <is>
          <t>AO</t>
        </is>
      </c>
      <c r="G412" s="3">
        <f>IFERROR(IF(INDEX('HMM Actors'!$B:$B,MATCH(E412,'HMM Actors'!$A:$A,0))="","(not assigned)",INDEX('HMM Actors'!$B:$B,MATCH(E412,'HMM Actors'!$A:$A,0))),"(not assigned)")</f>
        <v/>
      </c>
      <c r="H412" s="3">
        <f>IFERROR(IF(INDEX('HMM Locations'!$B:$B,MATCH(F412,'HMM Locations'!$A:$A,0))="","(not assigned)",INDEX('HMM Locations'!$B:$B,MATCH(F412,'HMM Locations'!$A:$A,0))),"(not assigned)")</f>
        <v/>
      </c>
      <c r="I412" s="3">
        <f>IFERROR(IF(INDEX('HMM Locations'!$C:$G,MATCH(F412,'HMM Locations'!$A:$A,0),D412)="","(not assigned)",INDEX('HMM Locations'!$C:$G,MATCH(F412,'HMM Locations'!$A:$A,0),D412)),"(not assigned)")</f>
        <v/>
      </c>
      <c r="J412" s="3">
        <f>IF(COUNTIF(G412:I412,"(not assigned)")=0,"Ready","Needs grid entry")</f>
        <v/>
      </c>
      <c r="K412" s="3" t="inlineStr"/>
      <c r="L412" s="3" t="inlineStr">
        <is>
          <t>蛋糕</t>
        </is>
      </c>
    </row>
    <row r="413" ht="15.75" customHeight="1" s="9">
      <c r="A413" s="7" t="inlineStr">
        <is>
          <t>根</t>
        </is>
      </c>
      <c r="B413" s="7" t="n">
        <v>3</v>
      </c>
      <c r="C413" s="3" t="inlineStr">
        <is>
          <t>gēn</t>
        </is>
      </c>
      <c r="D413" s="3" t="n">
        <v>1</v>
      </c>
      <c r="E413" s="3" t="inlineStr">
        <is>
          <t>G</t>
        </is>
      </c>
      <c r="F413" s="3" t="inlineStr">
        <is>
          <t>(E)N</t>
        </is>
      </c>
      <c r="G413" s="3">
        <f>IFERROR(IF(INDEX('HMM Actors'!$B:$B,MATCH(E413,'HMM Actors'!$A:$A,0))="","(not assigned)",INDEX('HMM Actors'!$B:$B,MATCH(E413,'HMM Actors'!$A:$A,0))),"(not assigned)")</f>
        <v/>
      </c>
      <c r="H413" s="3">
        <f>IFERROR(IF(INDEX('HMM Locations'!$B:$B,MATCH(F413,'HMM Locations'!$A:$A,0))="","(not assigned)",INDEX('HMM Locations'!$B:$B,MATCH(F413,'HMM Locations'!$A:$A,0))),"(not assigned)")</f>
        <v/>
      </c>
      <c r="I413" s="3">
        <f>IFERROR(IF(INDEX('HMM Locations'!$C:$G,MATCH(F413,'HMM Locations'!$A:$A,0),D413)="","(not assigned)",INDEX('HMM Locations'!$C:$G,MATCH(F413,'HMM Locations'!$A:$A,0),D413)),"(not assigned)")</f>
        <v/>
      </c>
      <c r="J413" s="3">
        <f>IF(COUNTIF(G413:I413,"(not assigned)")=0,"Ready","Needs grid entry")</f>
        <v/>
      </c>
      <c r="K413" s="3" t="inlineStr"/>
      <c r="L413" s="3" t="inlineStr">
        <is>
          <t>根据</t>
        </is>
      </c>
    </row>
    <row r="414" ht="15.75" customHeight="1" s="9">
      <c r="A414" s="7" t="inlineStr">
        <is>
          <t>跟</t>
        </is>
      </c>
      <c r="B414" s="7" t="n">
        <v>3</v>
      </c>
      <c r="C414" s="3" t="inlineStr">
        <is>
          <t>gēn</t>
        </is>
      </c>
      <c r="D414" s="3" t="n">
        <v>1</v>
      </c>
      <c r="E414" s="3" t="inlineStr">
        <is>
          <t>G</t>
        </is>
      </c>
      <c r="F414" s="3" t="inlineStr">
        <is>
          <t>(E)N</t>
        </is>
      </c>
      <c r="G414" s="3">
        <f>IFERROR(IF(INDEX('HMM Actors'!$B:$B,MATCH(E414,'HMM Actors'!$A:$A,0))="","(not assigned)",INDEX('HMM Actors'!$B:$B,MATCH(E414,'HMM Actors'!$A:$A,0))),"(not assigned)")</f>
        <v/>
      </c>
      <c r="H414" s="3">
        <f>IFERROR(IF(INDEX('HMM Locations'!$B:$B,MATCH(F414,'HMM Locations'!$A:$A,0))="","(not assigned)",INDEX('HMM Locations'!$B:$B,MATCH(F414,'HMM Locations'!$A:$A,0))),"(not assigned)")</f>
        <v/>
      </c>
      <c r="I414" s="3">
        <f>IFERROR(IF(INDEX('HMM Locations'!$C:$G,MATCH(F414,'HMM Locations'!$A:$A,0),D414)="","(not assigned)",INDEX('HMM Locations'!$C:$G,MATCH(F414,'HMM Locations'!$A:$A,0),D414)),"(not assigned)")</f>
        <v/>
      </c>
      <c r="J414" s="3">
        <f>IF(COUNTIF(G414:I414,"(not assigned)")=0,"Ready","Needs grid entry")</f>
        <v/>
      </c>
      <c r="K414" s="3" t="inlineStr"/>
      <c r="L414" s="3" t="inlineStr">
        <is>
          <t>跟</t>
        </is>
      </c>
    </row>
    <row r="415" ht="15.75" customHeight="1" s="9">
      <c r="A415" s="7" t="inlineStr">
        <is>
          <t>更</t>
        </is>
      </c>
      <c r="B415" s="7" t="n">
        <v>3</v>
      </c>
      <c r="C415" s="3" t="inlineStr">
        <is>
          <t>gèng</t>
        </is>
      </c>
      <c r="D415" s="3" t="n">
        <v>4</v>
      </c>
      <c r="E415" s="3" t="inlineStr">
        <is>
          <t>G</t>
        </is>
      </c>
      <c r="F415" s="3" t="inlineStr">
        <is>
          <t>(E)NG</t>
        </is>
      </c>
      <c r="G415" s="3">
        <f>IFERROR(IF(INDEX('HMM Actors'!$B:$B,MATCH(E415,'HMM Actors'!$A:$A,0))="","(not assigned)",INDEX('HMM Actors'!$B:$B,MATCH(E415,'HMM Actors'!$A:$A,0))),"(not assigned)")</f>
        <v/>
      </c>
      <c r="H415" s="3">
        <f>IFERROR(IF(INDEX('HMM Locations'!$B:$B,MATCH(F415,'HMM Locations'!$A:$A,0))="","(not assigned)",INDEX('HMM Locations'!$B:$B,MATCH(F415,'HMM Locations'!$A:$A,0))),"(not assigned)")</f>
        <v/>
      </c>
      <c r="I415" s="3">
        <f>IFERROR(IF(INDEX('HMM Locations'!$C:$G,MATCH(F415,'HMM Locations'!$A:$A,0),D415)="","(not assigned)",INDEX('HMM Locations'!$C:$G,MATCH(F415,'HMM Locations'!$A:$A,0),D415)),"(not assigned)")</f>
        <v/>
      </c>
      <c r="J415" s="3">
        <f>IF(COUNTIF(G415:I415,"(not assigned)")=0,"Ready","Needs grid entry")</f>
        <v/>
      </c>
      <c r="K415" s="3" t="inlineStr"/>
      <c r="L415" s="3" t="inlineStr">
        <is>
          <t>更</t>
        </is>
      </c>
    </row>
    <row r="416" ht="15.75" customHeight="1" s="9">
      <c r="A416" s="7" t="inlineStr">
        <is>
          <t>故</t>
        </is>
      </c>
      <c r="B416" s="7" t="n">
        <v>3</v>
      </c>
      <c r="C416" s="3" t="inlineStr">
        <is>
          <t>gù</t>
        </is>
      </c>
      <c r="D416" s="3" t="n">
        <v>4</v>
      </c>
      <c r="E416" s="3" t="inlineStr">
        <is>
          <t>G</t>
        </is>
      </c>
      <c r="F416" s="3" t="inlineStr">
        <is>
          <t>U</t>
        </is>
      </c>
      <c r="G416" s="3">
        <f>IFERROR(IF(INDEX('HMM Actors'!$B:$B,MATCH(E416,'HMM Actors'!$A:$A,0))="","(not assigned)",INDEX('HMM Actors'!$B:$B,MATCH(E416,'HMM Actors'!$A:$A,0))),"(not assigned)")</f>
        <v/>
      </c>
      <c r="H416" s="3">
        <f>IFERROR(IF(INDEX('HMM Locations'!$B:$B,MATCH(F416,'HMM Locations'!$A:$A,0))="","(not assigned)",INDEX('HMM Locations'!$B:$B,MATCH(F416,'HMM Locations'!$A:$A,0))),"(not assigned)")</f>
        <v/>
      </c>
      <c r="I416" s="3">
        <f>IFERROR(IF(INDEX('HMM Locations'!$C:$G,MATCH(F416,'HMM Locations'!$A:$A,0),D416)="","(not assigned)",INDEX('HMM Locations'!$C:$G,MATCH(F416,'HMM Locations'!$A:$A,0),D416)),"(not assigned)")</f>
        <v/>
      </c>
      <c r="J416" s="3">
        <f>IF(COUNTIF(G416:I416,"(not assigned)")=0,"Ready","Needs grid entry")</f>
        <v/>
      </c>
      <c r="K416" s="3" t="inlineStr"/>
      <c r="L416" s="3" t="inlineStr">
        <is>
          <t>故事</t>
        </is>
      </c>
    </row>
    <row r="417" ht="15.75" customHeight="1" s="9">
      <c r="A417" s="7" t="inlineStr">
        <is>
          <t>顾</t>
        </is>
      </c>
      <c r="B417" s="7" t="n">
        <v>3</v>
      </c>
      <c r="C417" s="3" t="inlineStr">
        <is>
          <t>gù</t>
        </is>
      </c>
      <c r="D417" s="3" t="n">
        <v>4</v>
      </c>
      <c r="E417" s="3" t="inlineStr">
        <is>
          <t>G</t>
        </is>
      </c>
      <c r="F417" s="3" t="inlineStr">
        <is>
          <t>U</t>
        </is>
      </c>
      <c r="G417" s="3">
        <f>IFERROR(IF(INDEX('HMM Actors'!$B:$B,MATCH(E417,'HMM Actors'!$A:$A,0))="","(not assigned)",INDEX('HMM Actors'!$B:$B,MATCH(E417,'HMM Actors'!$A:$A,0))),"(not assigned)")</f>
        <v/>
      </c>
      <c r="H417" s="3">
        <f>IFERROR(IF(INDEX('HMM Locations'!$B:$B,MATCH(F417,'HMM Locations'!$A:$A,0))="","(not assigned)",INDEX('HMM Locations'!$B:$B,MATCH(F417,'HMM Locations'!$A:$A,0))),"(not assigned)")</f>
        <v/>
      </c>
      <c r="I417" s="3">
        <f>IFERROR(IF(INDEX('HMM Locations'!$C:$G,MATCH(F417,'HMM Locations'!$A:$A,0),D417)="","(not assigned)",INDEX('HMM Locations'!$C:$G,MATCH(F417,'HMM Locations'!$A:$A,0),D417)),"(not assigned)")</f>
        <v/>
      </c>
      <c r="J417" s="3">
        <f>IF(COUNTIF(G417:I417,"(not assigned)")=0,"Ready","Needs grid entry")</f>
        <v/>
      </c>
      <c r="K417" s="3" t="inlineStr"/>
      <c r="L417" s="3" t="inlineStr">
        <is>
          <t>照顾</t>
        </is>
      </c>
    </row>
    <row r="418" ht="15.75" customHeight="1" s="9">
      <c r="A418" s="7" t="inlineStr">
        <is>
          <t>刮</t>
        </is>
      </c>
      <c r="B418" s="7" t="n">
        <v>3</v>
      </c>
      <c r="C418" s="3" t="inlineStr">
        <is>
          <t>guā</t>
        </is>
      </c>
      <c r="D418" s="3" t="n">
        <v>1</v>
      </c>
      <c r="E418" s="3" t="inlineStr">
        <is>
          <t>G</t>
        </is>
      </c>
      <c r="F418" s="3" t="inlineStr">
        <is>
          <t>UA</t>
        </is>
      </c>
      <c r="G418" s="3">
        <f>IFERROR(IF(INDEX('HMM Actors'!$B:$B,MATCH(E418,'HMM Actors'!$A:$A,0))="","(not assigned)",INDEX('HMM Actors'!$B:$B,MATCH(E418,'HMM Actors'!$A:$A,0))),"(not assigned)")</f>
        <v/>
      </c>
      <c r="H418" s="3">
        <f>IFERROR(IF(INDEX('HMM Locations'!$B:$B,MATCH(F418,'HMM Locations'!$A:$A,0))="","(not assigned)",INDEX('HMM Locations'!$B:$B,MATCH(F418,'HMM Locations'!$A:$A,0))),"(not assigned)")</f>
        <v/>
      </c>
      <c r="I418" s="3">
        <f>IFERROR(IF(INDEX('HMM Locations'!$C:$G,MATCH(F418,'HMM Locations'!$A:$A,0),D418)="","(not assigned)",INDEX('HMM Locations'!$C:$G,MATCH(F418,'HMM Locations'!$A:$A,0),D418)),"(not assigned)")</f>
        <v/>
      </c>
      <c r="J418" s="3">
        <f>IF(COUNTIF(G418:I418,"(not assigned)")=0,"Ready","Needs grid entry")</f>
        <v/>
      </c>
      <c r="K418" s="3" t="inlineStr"/>
      <c r="L418" s="3" t="inlineStr">
        <is>
          <t>刮风</t>
        </is>
      </c>
    </row>
    <row r="419" ht="15.75" customHeight="1" s="9">
      <c r="A419" s="7" t="inlineStr">
        <is>
          <t>怪</t>
        </is>
      </c>
      <c r="B419" s="7" t="n">
        <v>3</v>
      </c>
      <c r="C419" s="3" t="inlineStr">
        <is>
          <t>guài</t>
        </is>
      </c>
      <c r="D419" s="3" t="n">
        <v>4</v>
      </c>
      <c r="E419" s="3" t="inlineStr">
        <is>
          <t>G</t>
        </is>
      </c>
      <c r="F419" s="3" t="inlineStr">
        <is>
          <t>UAI</t>
        </is>
      </c>
      <c r="G419" s="3">
        <f>IFERROR(IF(INDEX('HMM Actors'!$B:$B,MATCH(E419,'HMM Actors'!$A:$A,0))="","(not assigned)",INDEX('HMM Actors'!$B:$B,MATCH(E419,'HMM Actors'!$A:$A,0))),"(not assigned)")</f>
        <v/>
      </c>
      <c r="H419" s="3">
        <f>IFERROR(IF(INDEX('HMM Locations'!$B:$B,MATCH(F419,'HMM Locations'!$A:$A,0))="","(not assigned)",INDEX('HMM Locations'!$B:$B,MATCH(F419,'HMM Locations'!$A:$A,0))),"(not assigned)")</f>
        <v/>
      </c>
      <c r="I419" s="3">
        <f>IFERROR(IF(INDEX('HMM Locations'!$C:$G,MATCH(F419,'HMM Locations'!$A:$A,0),D419)="","(not assigned)",INDEX('HMM Locations'!$C:$G,MATCH(F419,'HMM Locations'!$A:$A,0),D419)),"(not assigned)")</f>
        <v/>
      </c>
      <c r="J419" s="3">
        <f>IF(COUNTIF(G419:I419,"(not assigned)")=0,"Ready","Needs grid entry")</f>
        <v/>
      </c>
      <c r="K419" s="3" t="inlineStr"/>
      <c r="L419" s="3" t="inlineStr">
        <is>
          <t>奇怪</t>
        </is>
      </c>
    </row>
    <row r="420" ht="15.75" customHeight="1" s="9">
      <c r="A420" s="7" t="inlineStr">
        <is>
          <t>惯</t>
        </is>
      </c>
      <c r="B420" s="7" t="n">
        <v>3</v>
      </c>
      <c r="C420" s="3" t="inlineStr">
        <is>
          <t>guàn</t>
        </is>
      </c>
      <c r="D420" s="3" t="n">
        <v>4</v>
      </c>
      <c r="E420" s="3" t="inlineStr">
        <is>
          <t>G</t>
        </is>
      </c>
      <c r="F420" s="3" t="inlineStr">
        <is>
          <t>UAN (14th, Jacob-specific)</t>
        </is>
      </c>
      <c r="G420" s="3">
        <f>IFERROR(IF(INDEX('HMM Actors'!$B:$B,MATCH(E420,'HMM Actors'!$A:$A,0))="","(not assigned)",INDEX('HMM Actors'!$B:$B,MATCH(E420,'HMM Actors'!$A:$A,0))),"(not assigned)")</f>
        <v/>
      </c>
      <c r="H420" s="3">
        <f>IFERROR(IF(INDEX('HMM Locations'!$B:$B,MATCH(F420,'HMM Locations'!$A:$A,0))="","(not assigned)",INDEX('HMM Locations'!$B:$B,MATCH(F420,'HMM Locations'!$A:$A,0))),"(not assigned)")</f>
        <v/>
      </c>
      <c r="I420" s="3">
        <f>IFERROR(IF(INDEX('HMM Locations'!$C:$G,MATCH(F420,'HMM Locations'!$A:$A,0),D420)="","(not assigned)",INDEX('HMM Locations'!$C:$G,MATCH(F420,'HMM Locations'!$A:$A,0),D420)),"(not assigned)")</f>
        <v/>
      </c>
      <c r="J420" s="3">
        <f>IF(COUNTIF(G420:I420,"(not assigned)")=0,"Ready","Needs grid entry")</f>
        <v/>
      </c>
      <c r="K420" s="3" t="inlineStr"/>
      <c r="L420" s="3" t="inlineStr">
        <is>
          <t>习惯</t>
        </is>
      </c>
    </row>
    <row r="421" ht="15.75" customHeight="1" s="9">
      <c r="A421" s="7" t="inlineStr">
        <is>
          <t>害</t>
        </is>
      </c>
      <c r="B421" s="7" t="n">
        <v>3</v>
      </c>
      <c r="C421" s="3" t="inlineStr">
        <is>
          <t>hài</t>
        </is>
      </c>
      <c r="D421" s="3" t="n">
        <v>4</v>
      </c>
      <c r="E421" s="3" t="inlineStr">
        <is>
          <t>H</t>
        </is>
      </c>
      <c r="F421" s="3" t="inlineStr">
        <is>
          <t>AI</t>
        </is>
      </c>
      <c r="G421" s="3">
        <f>IFERROR(IF(INDEX('HMM Actors'!$B:$B,MATCH(E421,'HMM Actors'!$A:$A,0))="","(not assigned)",INDEX('HMM Actors'!$B:$B,MATCH(E421,'HMM Actors'!$A:$A,0))),"(not assigned)")</f>
        <v/>
      </c>
      <c r="H421" s="3">
        <f>IFERROR(IF(INDEX('HMM Locations'!$B:$B,MATCH(F421,'HMM Locations'!$A:$A,0))="","(not assigned)",INDEX('HMM Locations'!$B:$B,MATCH(F421,'HMM Locations'!$A:$A,0))),"(not assigned)")</f>
        <v/>
      </c>
      <c r="I421" s="3">
        <f>IFERROR(IF(INDEX('HMM Locations'!$C:$G,MATCH(F421,'HMM Locations'!$A:$A,0),D421)="","(not assigned)",INDEX('HMM Locations'!$C:$G,MATCH(F421,'HMM Locations'!$A:$A,0),D421)),"(not assigned)")</f>
        <v/>
      </c>
      <c r="J421" s="3">
        <f>IF(COUNTIF(G421:I421,"(not assigned)")=0,"Ready","Needs grid entry")</f>
        <v/>
      </c>
      <c r="K421" s="3" t="inlineStr"/>
      <c r="L421" s="3" t="inlineStr">
        <is>
          <t>害怕</t>
        </is>
      </c>
    </row>
    <row r="422" ht="15.75" customHeight="1" s="9">
      <c r="A422" s="7" t="inlineStr">
        <is>
          <t>河</t>
        </is>
      </c>
      <c r="B422" s="7" t="n">
        <v>3</v>
      </c>
      <c r="C422" s="3" t="inlineStr">
        <is>
          <t>hé</t>
        </is>
      </c>
      <c r="D422" s="3" t="n">
        <v>2</v>
      </c>
      <c r="E422" s="3" t="inlineStr">
        <is>
          <t>H</t>
        </is>
      </c>
      <c r="F422" s="3" t="inlineStr">
        <is>
          <t>E</t>
        </is>
      </c>
      <c r="G422" s="3">
        <f>IFERROR(IF(INDEX('HMM Actors'!$B:$B,MATCH(E422,'HMM Actors'!$A:$A,0))="","(not assigned)",INDEX('HMM Actors'!$B:$B,MATCH(E422,'HMM Actors'!$A:$A,0))),"(not assigned)")</f>
        <v/>
      </c>
      <c r="H422" s="3">
        <f>IFERROR(IF(INDEX('HMM Locations'!$B:$B,MATCH(F422,'HMM Locations'!$A:$A,0))="","(not assigned)",INDEX('HMM Locations'!$B:$B,MATCH(F422,'HMM Locations'!$A:$A,0))),"(not assigned)")</f>
        <v/>
      </c>
      <c r="I422" s="3">
        <f>IFERROR(IF(INDEX('HMM Locations'!$C:$G,MATCH(F422,'HMM Locations'!$A:$A,0),D422)="","(not assigned)",INDEX('HMM Locations'!$C:$G,MATCH(F422,'HMM Locations'!$A:$A,0),D422)),"(not assigned)")</f>
        <v/>
      </c>
      <c r="J422" s="3">
        <f>IF(COUNTIF(G422:I422,"(not assigned)")=0,"Ready","Needs grid entry")</f>
        <v/>
      </c>
      <c r="K422" s="3" t="inlineStr"/>
      <c r="L422" s="3" t="inlineStr">
        <is>
          <t>黄河</t>
        </is>
      </c>
    </row>
    <row r="423" ht="15.75" customHeight="1" s="9">
      <c r="A423" s="7" t="inlineStr">
        <is>
          <t>乎</t>
        </is>
      </c>
      <c r="B423" s="7" t="n">
        <v>3</v>
      </c>
      <c r="C423" s="3" t="inlineStr">
        <is>
          <t>hū</t>
        </is>
      </c>
      <c r="D423" s="3" t="n">
        <v>1</v>
      </c>
      <c r="E423" s="3" t="inlineStr">
        <is>
          <t>H</t>
        </is>
      </c>
      <c r="F423" s="3" t="inlineStr">
        <is>
          <t>U</t>
        </is>
      </c>
      <c r="G423" s="3">
        <f>IFERROR(IF(INDEX('HMM Actors'!$B:$B,MATCH(E423,'HMM Actors'!$A:$A,0))="","(not assigned)",INDEX('HMM Actors'!$B:$B,MATCH(E423,'HMM Actors'!$A:$A,0))),"(not assigned)")</f>
        <v/>
      </c>
      <c r="H423" s="3">
        <f>IFERROR(IF(INDEX('HMM Locations'!$B:$B,MATCH(F423,'HMM Locations'!$A:$A,0))="","(not assigned)",INDEX('HMM Locations'!$B:$B,MATCH(F423,'HMM Locations'!$A:$A,0))),"(not assigned)")</f>
        <v/>
      </c>
      <c r="I423" s="3">
        <f>IFERROR(IF(INDEX('HMM Locations'!$C:$G,MATCH(F423,'HMM Locations'!$A:$A,0),D423)="","(not assigned)",INDEX('HMM Locations'!$C:$G,MATCH(F423,'HMM Locations'!$A:$A,0),D423)),"(not assigned)")</f>
        <v/>
      </c>
      <c r="J423" s="3">
        <f>IF(COUNTIF(G423:I423,"(not assigned)")=0,"Ready","Needs grid entry")</f>
        <v/>
      </c>
      <c r="K423" s="3" t="inlineStr"/>
      <c r="L423" s="3" t="inlineStr">
        <is>
          <t>几乎</t>
        </is>
      </c>
    </row>
    <row r="424" ht="15.75" customHeight="1" s="9">
      <c r="A424" s="7" t="inlineStr">
        <is>
          <t>护</t>
        </is>
      </c>
      <c r="B424" s="7" t="n">
        <v>3</v>
      </c>
      <c r="C424" s="3" t="inlineStr">
        <is>
          <t>hù</t>
        </is>
      </c>
      <c r="D424" s="3" t="n">
        <v>4</v>
      </c>
      <c r="E424" s="3" t="inlineStr">
        <is>
          <t>H</t>
        </is>
      </c>
      <c r="F424" s="3" t="inlineStr">
        <is>
          <t>U</t>
        </is>
      </c>
      <c r="G424" s="3">
        <f>IFERROR(IF(INDEX('HMM Actors'!$B:$B,MATCH(E424,'HMM Actors'!$A:$A,0))="","(not assigned)",INDEX('HMM Actors'!$B:$B,MATCH(E424,'HMM Actors'!$A:$A,0))),"(not assigned)")</f>
        <v/>
      </c>
      <c r="H424" s="3">
        <f>IFERROR(IF(INDEX('HMM Locations'!$B:$B,MATCH(F424,'HMM Locations'!$A:$A,0))="","(not assigned)",INDEX('HMM Locations'!$B:$B,MATCH(F424,'HMM Locations'!$A:$A,0))),"(not assigned)")</f>
        <v/>
      </c>
      <c r="I424" s="3">
        <f>IFERROR(IF(INDEX('HMM Locations'!$C:$G,MATCH(F424,'HMM Locations'!$A:$A,0),D424)="","(not assigned)",INDEX('HMM Locations'!$C:$G,MATCH(F424,'HMM Locations'!$A:$A,0),D424)),"(not assigned)")</f>
        <v/>
      </c>
      <c r="J424" s="3">
        <f>IF(COUNTIF(G424:I424,"(not assigned)")=0,"Ready","Needs grid entry")</f>
        <v/>
      </c>
      <c r="K424" s="3" t="inlineStr"/>
      <c r="L424" s="3" t="inlineStr">
        <is>
          <t>护照</t>
        </is>
      </c>
    </row>
    <row r="425" ht="15.75" customHeight="1" s="9">
      <c r="A425" s="7" t="inlineStr">
        <is>
          <t>花</t>
        </is>
      </c>
      <c r="B425" s="7" t="n">
        <v>3</v>
      </c>
      <c r="C425" s="3" t="inlineStr">
        <is>
          <t>huā</t>
        </is>
      </c>
      <c r="D425" s="3" t="n">
        <v>1</v>
      </c>
      <c r="E425" s="3" t="inlineStr">
        <is>
          <t>H</t>
        </is>
      </c>
      <c r="F425" s="3" t="inlineStr">
        <is>
          <t>UA</t>
        </is>
      </c>
      <c r="G425" s="3">
        <f>IFERROR(IF(INDEX('HMM Actors'!$B:$B,MATCH(E425,'HMM Actors'!$A:$A,0))="","(not assigned)",INDEX('HMM Actors'!$B:$B,MATCH(E425,'HMM Actors'!$A:$A,0))),"(not assigned)")</f>
        <v/>
      </c>
      <c r="H425" s="3">
        <f>IFERROR(IF(INDEX('HMM Locations'!$B:$B,MATCH(F425,'HMM Locations'!$A:$A,0))="","(not assigned)",INDEX('HMM Locations'!$B:$B,MATCH(F425,'HMM Locations'!$A:$A,0))),"(not assigned)")</f>
        <v/>
      </c>
      <c r="I425" s="3">
        <f>IFERROR(IF(INDEX('HMM Locations'!$C:$G,MATCH(F425,'HMM Locations'!$A:$A,0),D425)="","(not assigned)",INDEX('HMM Locations'!$C:$G,MATCH(F425,'HMM Locations'!$A:$A,0),D425)),"(not assigned)")</f>
        <v/>
      </c>
      <c r="J425" s="3">
        <f>IF(COUNTIF(G425:I425,"(not assigned)")=0,"Ready","Needs grid entry")</f>
        <v/>
      </c>
      <c r="K425" s="3" t="inlineStr"/>
      <c r="L425" s="3" t="inlineStr">
        <is>
          <t>花</t>
        </is>
      </c>
    </row>
    <row r="426" ht="15.75" customHeight="1" s="9">
      <c r="A426" s="7" t="inlineStr">
        <is>
          <t>化</t>
        </is>
      </c>
      <c r="B426" s="7" t="n">
        <v>3</v>
      </c>
      <c r="C426" s="3" t="inlineStr">
        <is>
          <t>huà</t>
        </is>
      </c>
      <c r="D426" s="3" t="n">
        <v>4</v>
      </c>
      <c r="E426" s="3" t="inlineStr">
        <is>
          <t>H</t>
        </is>
      </c>
      <c r="F426" s="3" t="inlineStr">
        <is>
          <t>UA</t>
        </is>
      </c>
      <c r="G426" s="3">
        <f>IFERROR(IF(INDEX('HMM Actors'!$B:$B,MATCH(E426,'HMM Actors'!$A:$A,0))="","(not assigned)",INDEX('HMM Actors'!$B:$B,MATCH(E426,'HMM Actors'!$A:$A,0))),"(not assigned)")</f>
        <v/>
      </c>
      <c r="H426" s="3">
        <f>IFERROR(IF(INDEX('HMM Locations'!$B:$B,MATCH(F426,'HMM Locations'!$A:$A,0))="","(not assigned)",INDEX('HMM Locations'!$B:$B,MATCH(F426,'HMM Locations'!$A:$A,0))),"(not assigned)")</f>
        <v/>
      </c>
      <c r="I426" s="3">
        <f>IFERROR(IF(INDEX('HMM Locations'!$C:$G,MATCH(F426,'HMM Locations'!$A:$A,0),D426)="","(not assigned)",INDEX('HMM Locations'!$C:$G,MATCH(F426,'HMM Locations'!$A:$A,0),D426)),"(not assigned)")</f>
        <v/>
      </c>
      <c r="J426" s="3">
        <f>IF(COUNTIF(G426:I426,"(not assigned)")=0,"Ready","Needs grid entry")</f>
        <v/>
      </c>
      <c r="K426" s="3" t="inlineStr"/>
      <c r="L426" s="3" t="inlineStr">
        <is>
          <t>变化、文化</t>
        </is>
      </c>
    </row>
    <row r="427" ht="15.75" customHeight="1" s="9">
      <c r="A427" s="7" t="inlineStr">
        <is>
          <t>画</t>
        </is>
      </c>
      <c r="B427" s="7" t="n">
        <v>3</v>
      </c>
      <c r="C427" s="3" t="inlineStr">
        <is>
          <t>huà</t>
        </is>
      </c>
      <c r="D427" s="3" t="n">
        <v>4</v>
      </c>
      <c r="E427" s="3" t="inlineStr">
        <is>
          <t>H</t>
        </is>
      </c>
      <c r="F427" s="3" t="inlineStr">
        <is>
          <t>UA</t>
        </is>
      </c>
      <c r="G427" s="3">
        <f>IFERROR(IF(INDEX('HMM Actors'!$B:$B,MATCH(E427,'HMM Actors'!$A:$A,0))="","(not assigned)",INDEX('HMM Actors'!$B:$B,MATCH(E427,'HMM Actors'!$A:$A,0))),"(not assigned)")</f>
        <v/>
      </c>
      <c r="H427" s="3">
        <f>IFERROR(IF(INDEX('HMM Locations'!$B:$B,MATCH(F427,'HMM Locations'!$A:$A,0))="","(not assigned)",INDEX('HMM Locations'!$B:$B,MATCH(F427,'HMM Locations'!$A:$A,0))),"(not assigned)")</f>
        <v/>
      </c>
      <c r="I427" s="3">
        <f>IFERROR(IF(INDEX('HMM Locations'!$C:$G,MATCH(F427,'HMM Locations'!$A:$A,0),D427)="","(not assigned)",INDEX('HMM Locations'!$C:$G,MATCH(F427,'HMM Locations'!$A:$A,0),D427)),"(not assigned)")</f>
        <v/>
      </c>
      <c r="J427" s="3">
        <f>IF(COUNTIF(G427:I427,"(not assigned)")=0,"Ready","Needs grid entry")</f>
        <v/>
      </c>
      <c r="K427" s="3" t="inlineStr"/>
      <c r="L427" s="3" t="inlineStr">
        <is>
          <t>画</t>
        </is>
      </c>
    </row>
    <row r="428" ht="15.75" customHeight="1" s="9">
      <c r="A428" s="7" t="inlineStr">
        <is>
          <t>坏</t>
        </is>
      </c>
      <c r="B428" s="7" t="n">
        <v>3</v>
      </c>
      <c r="C428" s="3" t="inlineStr">
        <is>
          <t>huài</t>
        </is>
      </c>
      <c r="D428" s="3" t="n">
        <v>4</v>
      </c>
      <c r="E428" s="3" t="inlineStr">
        <is>
          <t>H</t>
        </is>
      </c>
      <c r="F428" s="3" t="inlineStr">
        <is>
          <t>UAI</t>
        </is>
      </c>
      <c r="G428" s="3">
        <f>IFERROR(IF(INDEX('HMM Actors'!$B:$B,MATCH(E428,'HMM Actors'!$A:$A,0))="","(not assigned)",INDEX('HMM Actors'!$B:$B,MATCH(E428,'HMM Actors'!$A:$A,0))),"(not assigned)")</f>
        <v/>
      </c>
      <c r="H428" s="3">
        <f>IFERROR(IF(INDEX('HMM Locations'!$B:$B,MATCH(F428,'HMM Locations'!$A:$A,0))="","(not assigned)",INDEX('HMM Locations'!$B:$B,MATCH(F428,'HMM Locations'!$A:$A,0))),"(not assigned)")</f>
        <v/>
      </c>
      <c r="I428" s="3">
        <f>IFERROR(IF(INDEX('HMM Locations'!$C:$G,MATCH(F428,'HMM Locations'!$A:$A,0),D428)="","(not assigned)",INDEX('HMM Locations'!$C:$G,MATCH(F428,'HMM Locations'!$A:$A,0),D428)),"(not assigned)")</f>
        <v/>
      </c>
      <c r="J428" s="3">
        <f>IF(COUNTIF(G428:I428,"(not assigned)")=0,"Ready","Needs grid entry")</f>
        <v/>
      </c>
      <c r="K428" s="3" t="inlineStr"/>
      <c r="L428" s="3" t="inlineStr">
        <is>
          <t>坏</t>
        </is>
      </c>
    </row>
    <row r="429" ht="15.75" customHeight="1" s="9">
      <c r="A429" s="7" t="inlineStr">
        <is>
          <t>环</t>
        </is>
      </c>
      <c r="B429" s="7" t="n">
        <v>3</v>
      </c>
      <c r="C429" s="3" t="inlineStr">
        <is>
          <t>huán</t>
        </is>
      </c>
      <c r="D429" s="3" t="n">
        <v>2</v>
      </c>
      <c r="E429" s="3" t="inlineStr">
        <is>
          <t>H</t>
        </is>
      </c>
      <c r="F429" s="3" t="inlineStr">
        <is>
          <t>UAN (14th, Jacob-specific)</t>
        </is>
      </c>
      <c r="G429" s="3">
        <f>IFERROR(IF(INDEX('HMM Actors'!$B:$B,MATCH(E429,'HMM Actors'!$A:$A,0))="","(not assigned)",INDEX('HMM Actors'!$B:$B,MATCH(E429,'HMM Actors'!$A:$A,0))),"(not assigned)")</f>
        <v/>
      </c>
      <c r="H429" s="3">
        <f>IFERROR(IF(INDEX('HMM Locations'!$B:$B,MATCH(F429,'HMM Locations'!$A:$A,0))="","(not assigned)",INDEX('HMM Locations'!$B:$B,MATCH(F429,'HMM Locations'!$A:$A,0))),"(not assigned)")</f>
        <v/>
      </c>
      <c r="I429" s="3">
        <f>IFERROR(IF(INDEX('HMM Locations'!$C:$G,MATCH(F429,'HMM Locations'!$A:$A,0),D429)="","(not assigned)",INDEX('HMM Locations'!$C:$G,MATCH(F429,'HMM Locations'!$A:$A,0),D429)),"(not assigned)")</f>
        <v/>
      </c>
      <c r="J429" s="3">
        <f>IF(COUNTIF(G429:I429,"(not assigned)")=0,"Ready","Needs grid entry")</f>
        <v/>
      </c>
      <c r="K429" s="3" t="inlineStr"/>
      <c r="L429" s="3" t="inlineStr">
        <is>
          <t>环境</t>
        </is>
      </c>
    </row>
    <row r="430" ht="15.75" customHeight="1" s="9">
      <c r="A430" s="7" t="inlineStr">
        <is>
          <t>换</t>
        </is>
      </c>
      <c r="B430" s="7" t="n">
        <v>3</v>
      </c>
      <c r="C430" s="3" t="inlineStr">
        <is>
          <t>huàn</t>
        </is>
      </c>
      <c r="D430" s="3" t="n">
        <v>4</v>
      </c>
      <c r="E430" s="3" t="inlineStr">
        <is>
          <t>H</t>
        </is>
      </c>
      <c r="F430" s="3" t="inlineStr">
        <is>
          <t>UAN (14th, Jacob-specific)</t>
        </is>
      </c>
      <c r="G430" s="3">
        <f>IFERROR(IF(INDEX('HMM Actors'!$B:$B,MATCH(E430,'HMM Actors'!$A:$A,0))="","(not assigned)",INDEX('HMM Actors'!$B:$B,MATCH(E430,'HMM Actors'!$A:$A,0))),"(not assigned)")</f>
        <v/>
      </c>
      <c r="H430" s="3">
        <f>IFERROR(IF(INDEX('HMM Locations'!$B:$B,MATCH(F430,'HMM Locations'!$A:$A,0))="","(not assigned)",INDEX('HMM Locations'!$B:$B,MATCH(F430,'HMM Locations'!$A:$A,0))),"(not assigned)")</f>
        <v/>
      </c>
      <c r="I430" s="3">
        <f>IFERROR(IF(INDEX('HMM Locations'!$C:$G,MATCH(F430,'HMM Locations'!$A:$A,0),D430)="","(not assigned)",INDEX('HMM Locations'!$C:$G,MATCH(F430,'HMM Locations'!$A:$A,0),D430)),"(not assigned)")</f>
        <v/>
      </c>
      <c r="J430" s="3">
        <f>IF(COUNTIF(G430:I430,"(not assigned)")=0,"Ready","Needs grid entry")</f>
        <v/>
      </c>
      <c r="K430" s="3" t="inlineStr"/>
      <c r="L430" s="3" t="inlineStr">
        <is>
          <t>换</t>
        </is>
      </c>
    </row>
    <row r="431" ht="15.75" customHeight="1" s="9">
      <c r="A431" s="7" t="inlineStr">
        <is>
          <t>黄</t>
        </is>
      </c>
      <c r="B431" s="7" t="n">
        <v>3</v>
      </c>
      <c r="C431" s="3" t="inlineStr">
        <is>
          <t>huáng</t>
        </is>
      </c>
      <c r="D431" s="3" t="n">
        <v>2</v>
      </c>
      <c r="E431" s="3" t="inlineStr">
        <is>
          <t>H</t>
        </is>
      </c>
      <c r="F431" s="3" t="inlineStr">
        <is>
          <t>UANG</t>
        </is>
      </c>
      <c r="G431" s="3">
        <f>IFERROR(IF(INDEX('HMM Actors'!$B:$B,MATCH(E431,'HMM Actors'!$A:$A,0))="","(not assigned)",INDEX('HMM Actors'!$B:$B,MATCH(E431,'HMM Actors'!$A:$A,0))),"(not assigned)")</f>
        <v/>
      </c>
      <c r="H431" s="3">
        <f>IFERROR(IF(INDEX('HMM Locations'!$B:$B,MATCH(F431,'HMM Locations'!$A:$A,0))="","(not assigned)",INDEX('HMM Locations'!$B:$B,MATCH(F431,'HMM Locations'!$A:$A,0))),"(not assigned)")</f>
        <v/>
      </c>
      <c r="I431" s="3">
        <f>IFERROR(IF(INDEX('HMM Locations'!$C:$G,MATCH(F431,'HMM Locations'!$A:$A,0),D431)="","(not assigned)",INDEX('HMM Locations'!$C:$G,MATCH(F431,'HMM Locations'!$A:$A,0),D431)),"(not assigned)")</f>
        <v/>
      </c>
      <c r="J431" s="3">
        <f>IF(COUNTIF(G431:I431,"(not assigned)")=0,"Ready","Needs grid entry")</f>
        <v/>
      </c>
      <c r="K431" s="3" t="inlineStr"/>
      <c r="L431" s="3" t="inlineStr">
        <is>
          <t>黄河</t>
        </is>
      </c>
    </row>
    <row r="432" ht="15.75" customHeight="1" s="9">
      <c r="A432" s="7" t="inlineStr">
        <is>
          <t>婚</t>
        </is>
      </c>
      <c r="B432" s="7" t="n">
        <v>3</v>
      </c>
      <c r="C432" s="3" t="inlineStr">
        <is>
          <t>hūn</t>
        </is>
      </c>
      <c r="D432" s="3" t="n">
        <v>1</v>
      </c>
      <c r="E432" s="3" t="inlineStr">
        <is>
          <t>H</t>
        </is>
      </c>
      <c r="F432" s="3" t="inlineStr">
        <is>
          <t>UN</t>
        </is>
      </c>
      <c r="G432" s="3">
        <f>IFERROR(IF(INDEX('HMM Actors'!$B:$B,MATCH(E432,'HMM Actors'!$A:$A,0))="","(not assigned)",INDEX('HMM Actors'!$B:$B,MATCH(E432,'HMM Actors'!$A:$A,0))),"(not assigned)")</f>
        <v/>
      </c>
      <c r="H432" s="3">
        <f>IFERROR(IF(INDEX('HMM Locations'!$B:$B,MATCH(F432,'HMM Locations'!$A:$A,0))="","(not assigned)",INDEX('HMM Locations'!$B:$B,MATCH(F432,'HMM Locations'!$A:$A,0))),"(not assigned)")</f>
        <v/>
      </c>
      <c r="I432" s="3">
        <f>IFERROR(IF(INDEX('HMM Locations'!$C:$G,MATCH(F432,'HMM Locations'!$A:$A,0),D432)="","(not assigned)",INDEX('HMM Locations'!$C:$G,MATCH(F432,'HMM Locations'!$A:$A,0),D432)),"(not assigned)")</f>
        <v/>
      </c>
      <c r="J432" s="3">
        <f>IF(COUNTIF(G432:I432,"(not assigned)")=0,"Ready","Needs grid entry")</f>
        <v/>
      </c>
      <c r="K432" s="3" t="inlineStr"/>
      <c r="L432" s="3" t="inlineStr">
        <is>
          <t>结婚</t>
        </is>
      </c>
    </row>
    <row r="433" ht="15.75" customHeight="1" s="9">
      <c r="A433" s="7" t="inlineStr">
        <is>
          <t>或</t>
        </is>
      </c>
      <c r="B433" s="7" t="n">
        <v>3</v>
      </c>
      <c r="C433" s="3" t="inlineStr">
        <is>
          <t>huò</t>
        </is>
      </c>
      <c r="D433" s="3" t="n">
        <v>4</v>
      </c>
      <c r="E433" s="3" t="inlineStr">
        <is>
          <t>H</t>
        </is>
      </c>
      <c r="F433" s="3" t="inlineStr">
        <is>
          <t>UO</t>
        </is>
      </c>
      <c r="G433" s="3">
        <f>IFERROR(IF(INDEX('HMM Actors'!$B:$B,MATCH(E433,'HMM Actors'!$A:$A,0))="","(not assigned)",INDEX('HMM Actors'!$B:$B,MATCH(E433,'HMM Actors'!$A:$A,0))),"(not assigned)")</f>
        <v/>
      </c>
      <c r="H433" s="3">
        <f>IFERROR(IF(INDEX('HMM Locations'!$B:$B,MATCH(F433,'HMM Locations'!$A:$A,0))="","(not assigned)",INDEX('HMM Locations'!$B:$B,MATCH(F433,'HMM Locations'!$A:$A,0))),"(not assigned)")</f>
        <v/>
      </c>
      <c r="I433" s="3">
        <f>IFERROR(IF(INDEX('HMM Locations'!$C:$G,MATCH(F433,'HMM Locations'!$A:$A,0),D433)="","(not assigned)",INDEX('HMM Locations'!$C:$G,MATCH(F433,'HMM Locations'!$A:$A,0),D433)),"(not assigned)")</f>
        <v/>
      </c>
      <c r="J433" s="3">
        <f>IF(COUNTIF(G433:I433,"(not assigned)")=0,"Ready","Needs grid entry")</f>
        <v/>
      </c>
      <c r="K433" s="3" t="inlineStr"/>
      <c r="L433" s="3" t="inlineStr">
        <is>
          <t>或者</t>
        </is>
      </c>
    </row>
    <row r="434" ht="15.75" customHeight="1" s="9">
      <c r="A434" s="7" t="inlineStr">
        <is>
          <t>级</t>
        </is>
      </c>
      <c r="B434" s="7" t="n">
        <v>3</v>
      </c>
      <c r="C434" s="3" t="inlineStr">
        <is>
          <t>jí</t>
        </is>
      </c>
      <c r="D434" s="3" t="n">
        <v>2</v>
      </c>
      <c r="E434" s="3" t="inlineStr">
        <is>
          <t>J</t>
        </is>
      </c>
      <c r="F434" s="3" t="inlineStr">
        <is>
          <t>I</t>
        </is>
      </c>
      <c r="G434" s="3">
        <f>IFERROR(IF(INDEX('HMM Actors'!$B:$B,MATCH(E434,'HMM Actors'!$A:$A,0))="","(not assigned)",INDEX('HMM Actors'!$B:$B,MATCH(E434,'HMM Actors'!$A:$A,0))),"(not assigned)")</f>
        <v/>
      </c>
      <c r="H434" s="3">
        <f>IFERROR(IF(INDEX('HMM Locations'!$B:$B,MATCH(F434,'HMM Locations'!$A:$A,0))="","(not assigned)",INDEX('HMM Locations'!$B:$B,MATCH(F434,'HMM Locations'!$A:$A,0))),"(not assigned)")</f>
        <v/>
      </c>
      <c r="I434" s="3">
        <f>IFERROR(IF(INDEX('HMM Locations'!$C:$G,MATCH(F434,'HMM Locations'!$A:$A,0),D434)="","(not assigned)",INDEX('HMM Locations'!$C:$G,MATCH(F434,'HMM Locations'!$A:$A,0),D434)),"(not assigned)")</f>
        <v/>
      </c>
      <c r="J434" s="3">
        <f>IF(COUNTIF(G434:I434,"(not assigned)")=0,"Ready","Needs grid entry")</f>
        <v/>
      </c>
      <c r="K434" s="3" t="inlineStr"/>
      <c r="L434" s="3" t="inlineStr">
        <is>
          <t>年级</t>
        </is>
      </c>
    </row>
    <row r="435" ht="15.75" customHeight="1" s="9">
      <c r="A435" s="7" t="inlineStr">
        <is>
          <t>极</t>
        </is>
      </c>
      <c r="B435" s="7" t="n">
        <v>3</v>
      </c>
      <c r="C435" s="3" t="inlineStr">
        <is>
          <t>jí</t>
        </is>
      </c>
      <c r="D435" s="3" t="n">
        <v>2</v>
      </c>
      <c r="E435" s="3" t="inlineStr">
        <is>
          <t>J</t>
        </is>
      </c>
      <c r="F435" s="3" t="inlineStr">
        <is>
          <t>I</t>
        </is>
      </c>
      <c r="G435" s="3">
        <f>IFERROR(IF(INDEX('HMM Actors'!$B:$B,MATCH(E435,'HMM Actors'!$A:$A,0))="","(not assigned)",INDEX('HMM Actors'!$B:$B,MATCH(E435,'HMM Actors'!$A:$A,0))),"(not assigned)")</f>
        <v/>
      </c>
      <c r="H435" s="3">
        <f>IFERROR(IF(INDEX('HMM Locations'!$B:$B,MATCH(F435,'HMM Locations'!$A:$A,0))="","(not assigned)",INDEX('HMM Locations'!$B:$B,MATCH(F435,'HMM Locations'!$A:$A,0))),"(not assigned)")</f>
        <v/>
      </c>
      <c r="I435" s="3">
        <f>IFERROR(IF(INDEX('HMM Locations'!$C:$G,MATCH(F435,'HMM Locations'!$A:$A,0),D435)="","(not assigned)",INDEX('HMM Locations'!$C:$G,MATCH(F435,'HMM Locations'!$A:$A,0),D435)),"(not assigned)")</f>
        <v/>
      </c>
      <c r="J435" s="3">
        <f>IF(COUNTIF(G435:I435,"(not assigned)")=0,"Ready","Needs grid entry")</f>
        <v/>
      </c>
      <c r="K435" s="3" t="inlineStr"/>
      <c r="L435" s="3" t="inlineStr">
        <is>
          <t>极</t>
        </is>
      </c>
    </row>
    <row r="436" ht="15.75" customHeight="1" s="9">
      <c r="A436" s="7" t="inlineStr">
        <is>
          <t>急</t>
        </is>
      </c>
      <c r="B436" s="7" t="n">
        <v>3</v>
      </c>
      <c r="C436" s="3" t="inlineStr">
        <is>
          <t>jí</t>
        </is>
      </c>
      <c r="D436" s="3" t="n">
        <v>2</v>
      </c>
      <c r="E436" s="3" t="inlineStr">
        <is>
          <t>J</t>
        </is>
      </c>
      <c r="F436" s="3" t="inlineStr">
        <is>
          <t>I</t>
        </is>
      </c>
      <c r="G436" s="3">
        <f>IFERROR(IF(INDEX('HMM Actors'!$B:$B,MATCH(E436,'HMM Actors'!$A:$A,0))="","(not assigned)",INDEX('HMM Actors'!$B:$B,MATCH(E436,'HMM Actors'!$A:$A,0))),"(not assigned)")</f>
        <v/>
      </c>
      <c r="H436" s="3">
        <f>IFERROR(IF(INDEX('HMM Locations'!$B:$B,MATCH(F436,'HMM Locations'!$A:$A,0))="","(not assigned)",INDEX('HMM Locations'!$B:$B,MATCH(F436,'HMM Locations'!$A:$A,0))),"(not assigned)")</f>
        <v/>
      </c>
      <c r="I436" s="3">
        <f>IFERROR(IF(INDEX('HMM Locations'!$C:$G,MATCH(F436,'HMM Locations'!$A:$A,0),D436)="","(not assigned)",INDEX('HMM Locations'!$C:$G,MATCH(F436,'HMM Locations'!$A:$A,0),D436)),"(not assigned)")</f>
        <v/>
      </c>
      <c r="J436" s="3">
        <f>IF(COUNTIF(G436:I436,"(not assigned)")=0,"Ready","Needs grid entry")</f>
        <v/>
      </c>
      <c r="K436" s="3" t="inlineStr"/>
      <c r="L436" s="3" t="inlineStr">
        <is>
          <t>着急</t>
        </is>
      </c>
    </row>
    <row r="437" ht="15.75" customHeight="1" s="9">
      <c r="A437" s="7" t="inlineStr">
        <is>
          <t>己</t>
        </is>
      </c>
      <c r="B437" s="7" t="n">
        <v>3</v>
      </c>
      <c r="C437" s="3" t="inlineStr">
        <is>
          <t>jǐ</t>
        </is>
      </c>
      <c r="D437" s="3" t="n">
        <v>3</v>
      </c>
      <c r="E437" s="3" t="inlineStr">
        <is>
          <t>J</t>
        </is>
      </c>
      <c r="F437" s="3" t="inlineStr">
        <is>
          <t>I</t>
        </is>
      </c>
      <c r="G437" s="3">
        <f>IFERROR(IF(INDEX('HMM Actors'!$B:$B,MATCH(E437,'HMM Actors'!$A:$A,0))="","(not assigned)",INDEX('HMM Actors'!$B:$B,MATCH(E437,'HMM Actors'!$A:$A,0))),"(not assigned)")</f>
        <v/>
      </c>
      <c r="H437" s="3">
        <f>IFERROR(IF(INDEX('HMM Locations'!$B:$B,MATCH(F437,'HMM Locations'!$A:$A,0))="","(not assigned)",INDEX('HMM Locations'!$B:$B,MATCH(F437,'HMM Locations'!$A:$A,0))),"(not assigned)")</f>
        <v/>
      </c>
      <c r="I437" s="3">
        <f>IFERROR(IF(INDEX('HMM Locations'!$C:$G,MATCH(F437,'HMM Locations'!$A:$A,0),D437)="","(not assigned)",INDEX('HMM Locations'!$C:$G,MATCH(F437,'HMM Locations'!$A:$A,0),D437)),"(not assigned)")</f>
        <v/>
      </c>
      <c r="J437" s="3">
        <f>IF(COUNTIF(G437:I437,"(not assigned)")=0,"Ready","Needs grid entry")</f>
        <v/>
      </c>
      <c r="K437" s="3" t="inlineStr"/>
      <c r="L437" s="3" t="inlineStr">
        <is>
          <t>自己</t>
        </is>
      </c>
    </row>
    <row r="438" ht="15.75" customHeight="1" s="9">
      <c r="A438" s="7" t="inlineStr">
        <is>
          <t>记</t>
        </is>
      </c>
      <c r="B438" s="7" t="n">
        <v>3</v>
      </c>
      <c r="C438" s="3" t="inlineStr">
        <is>
          <t>jì</t>
        </is>
      </c>
      <c r="D438" s="3" t="n">
        <v>4</v>
      </c>
      <c r="E438" s="3" t="inlineStr">
        <is>
          <t>J</t>
        </is>
      </c>
      <c r="F438" s="3" t="inlineStr">
        <is>
          <t>I</t>
        </is>
      </c>
      <c r="G438" s="3">
        <f>IFERROR(IF(INDEX('HMM Actors'!$B:$B,MATCH(E438,'HMM Actors'!$A:$A,0))="","(not assigned)",INDEX('HMM Actors'!$B:$B,MATCH(E438,'HMM Actors'!$A:$A,0))),"(not assigned)")</f>
        <v/>
      </c>
      <c r="H438" s="3">
        <f>IFERROR(IF(INDEX('HMM Locations'!$B:$B,MATCH(F438,'HMM Locations'!$A:$A,0))="","(not assigned)",INDEX('HMM Locations'!$B:$B,MATCH(F438,'HMM Locations'!$A:$A,0))),"(not assigned)")</f>
        <v/>
      </c>
      <c r="I438" s="3">
        <f>IFERROR(IF(INDEX('HMM Locations'!$C:$G,MATCH(F438,'HMM Locations'!$A:$A,0),D438)="","(not assigned)",INDEX('HMM Locations'!$C:$G,MATCH(F438,'HMM Locations'!$A:$A,0),D438)),"(not assigned)")</f>
        <v/>
      </c>
      <c r="J438" s="3">
        <f>IF(COUNTIF(G438:I438,"(not assigned)")=0,"Ready","Needs grid entry")</f>
        <v/>
      </c>
      <c r="K438" s="3" t="inlineStr"/>
      <c r="L438" s="3" t="inlineStr">
        <is>
          <t>笔记本、记得、忘记</t>
        </is>
      </c>
    </row>
    <row r="439" ht="15.75" customHeight="1" s="9">
      <c r="A439" s="7" t="inlineStr">
        <is>
          <t>季</t>
        </is>
      </c>
      <c r="B439" s="7" t="n">
        <v>3</v>
      </c>
      <c r="C439" s="3" t="inlineStr">
        <is>
          <t>jì</t>
        </is>
      </c>
      <c r="D439" s="3" t="n">
        <v>4</v>
      </c>
      <c r="E439" s="3" t="inlineStr">
        <is>
          <t>J</t>
        </is>
      </c>
      <c r="F439" s="3" t="inlineStr">
        <is>
          <t>I</t>
        </is>
      </c>
      <c r="G439" s="3">
        <f>IFERROR(IF(INDEX('HMM Actors'!$B:$B,MATCH(E439,'HMM Actors'!$A:$A,0))="","(not assigned)",INDEX('HMM Actors'!$B:$B,MATCH(E439,'HMM Actors'!$A:$A,0))),"(not assigned)")</f>
        <v/>
      </c>
      <c r="H439" s="3">
        <f>IFERROR(IF(INDEX('HMM Locations'!$B:$B,MATCH(F439,'HMM Locations'!$A:$A,0))="","(not assigned)",INDEX('HMM Locations'!$B:$B,MATCH(F439,'HMM Locations'!$A:$A,0))),"(not assigned)")</f>
        <v/>
      </c>
      <c r="I439" s="3">
        <f>IFERROR(IF(INDEX('HMM Locations'!$C:$G,MATCH(F439,'HMM Locations'!$A:$A,0),D439)="","(not assigned)",INDEX('HMM Locations'!$C:$G,MATCH(F439,'HMM Locations'!$A:$A,0),D439)),"(not assigned)")</f>
        <v/>
      </c>
      <c r="J439" s="3">
        <f>IF(COUNTIF(G439:I439,"(not assigned)")=0,"Ready","Needs grid entry")</f>
        <v/>
      </c>
      <c r="K439" s="3" t="inlineStr"/>
      <c r="L439" s="3" t="inlineStr">
        <is>
          <t>季节</t>
        </is>
      </c>
    </row>
    <row r="440" ht="15.75" customHeight="1" s="9">
      <c r="A440" s="7" t="inlineStr">
        <is>
          <t>绩</t>
        </is>
      </c>
      <c r="B440" s="7" t="n">
        <v>3</v>
      </c>
      <c r="C440" s="3" t="inlineStr">
        <is>
          <t>jì</t>
        </is>
      </c>
      <c r="D440" s="3" t="n">
        <v>4</v>
      </c>
      <c r="E440" s="3" t="inlineStr">
        <is>
          <t>J</t>
        </is>
      </c>
      <c r="F440" s="3" t="inlineStr">
        <is>
          <t>I</t>
        </is>
      </c>
      <c r="G440" s="3">
        <f>IFERROR(IF(INDEX('HMM Actors'!$B:$B,MATCH(E440,'HMM Actors'!$A:$A,0))="","(not assigned)",INDEX('HMM Actors'!$B:$B,MATCH(E440,'HMM Actors'!$A:$A,0))),"(not assigned)")</f>
        <v/>
      </c>
      <c r="H440" s="3">
        <f>IFERROR(IF(INDEX('HMM Locations'!$B:$B,MATCH(F440,'HMM Locations'!$A:$A,0))="","(not assigned)",INDEX('HMM Locations'!$B:$B,MATCH(F440,'HMM Locations'!$A:$A,0))),"(not assigned)")</f>
        <v/>
      </c>
      <c r="I440" s="3">
        <f>IFERROR(IF(INDEX('HMM Locations'!$C:$G,MATCH(F440,'HMM Locations'!$A:$A,0),D440)="","(not assigned)",INDEX('HMM Locations'!$C:$G,MATCH(F440,'HMM Locations'!$A:$A,0),D440)),"(not assigned)")</f>
        <v/>
      </c>
      <c r="J440" s="3">
        <f>IF(COUNTIF(G440:I440,"(not assigned)")=0,"Ready","Needs grid entry")</f>
        <v/>
      </c>
      <c r="K440" s="3" t="inlineStr"/>
      <c r="L440" s="3" t="inlineStr">
        <is>
          <t>成绩</t>
        </is>
      </c>
    </row>
    <row r="441" ht="15.75" customHeight="1" s="9">
      <c r="A441" s="7" t="inlineStr">
        <is>
          <t>加</t>
        </is>
      </c>
      <c r="B441" s="7" t="n">
        <v>3</v>
      </c>
      <c r="C441" s="3" t="inlineStr">
        <is>
          <t>jiā</t>
        </is>
      </c>
      <c r="D441" s="3" t="n">
        <v>1</v>
      </c>
      <c r="E441" s="3" t="inlineStr">
        <is>
          <t>J</t>
        </is>
      </c>
      <c r="F441" s="3" t="inlineStr">
        <is>
          <t>IA</t>
        </is>
      </c>
      <c r="G441" s="3">
        <f>IFERROR(IF(INDEX('HMM Actors'!$B:$B,MATCH(E441,'HMM Actors'!$A:$A,0))="","(not assigned)",INDEX('HMM Actors'!$B:$B,MATCH(E441,'HMM Actors'!$A:$A,0))),"(not assigned)")</f>
        <v/>
      </c>
      <c r="H441" s="3">
        <f>IFERROR(IF(INDEX('HMM Locations'!$B:$B,MATCH(F441,'HMM Locations'!$A:$A,0))="","(not assigned)",INDEX('HMM Locations'!$B:$B,MATCH(F441,'HMM Locations'!$A:$A,0))),"(not assigned)")</f>
        <v/>
      </c>
      <c r="I441" s="3">
        <f>IFERROR(IF(INDEX('HMM Locations'!$C:$G,MATCH(F441,'HMM Locations'!$A:$A,0),D441)="","(not assigned)",INDEX('HMM Locations'!$C:$G,MATCH(F441,'HMM Locations'!$A:$A,0),D441)),"(not assigned)")</f>
        <v/>
      </c>
      <c r="J441" s="3">
        <f>IF(COUNTIF(G441:I441,"(not assigned)")=0,"Ready","Needs grid entry")</f>
        <v/>
      </c>
      <c r="K441" s="3" t="inlineStr"/>
      <c r="L441" s="3" t="inlineStr">
        <is>
          <t>参加</t>
        </is>
      </c>
    </row>
    <row r="442" ht="15.75" customHeight="1" s="9">
      <c r="A442" s="7" t="inlineStr">
        <is>
          <t>假</t>
        </is>
      </c>
      <c r="B442" s="7" t="n">
        <v>3</v>
      </c>
      <c r="C442" s="3" t="inlineStr">
        <is>
          <t>jià</t>
        </is>
      </c>
      <c r="D442" s="3" t="n">
        <v>4</v>
      </c>
      <c r="E442" s="3" t="inlineStr">
        <is>
          <t>J</t>
        </is>
      </c>
      <c r="F442" s="3" t="inlineStr">
        <is>
          <t>IA</t>
        </is>
      </c>
      <c r="G442" s="3">
        <f>IFERROR(IF(INDEX('HMM Actors'!$B:$B,MATCH(E442,'HMM Actors'!$A:$A,0))="","(not assigned)",INDEX('HMM Actors'!$B:$B,MATCH(E442,'HMM Actors'!$A:$A,0))),"(not assigned)")</f>
        <v/>
      </c>
      <c r="H442" s="3">
        <f>IFERROR(IF(INDEX('HMM Locations'!$B:$B,MATCH(F442,'HMM Locations'!$A:$A,0))="","(not assigned)",INDEX('HMM Locations'!$B:$B,MATCH(F442,'HMM Locations'!$A:$A,0))),"(not assigned)")</f>
        <v/>
      </c>
      <c r="I442" s="3">
        <f>IFERROR(IF(INDEX('HMM Locations'!$C:$G,MATCH(F442,'HMM Locations'!$A:$A,0),D442)="","(not assigned)",INDEX('HMM Locations'!$C:$G,MATCH(F442,'HMM Locations'!$A:$A,0),D442)),"(not assigned)")</f>
        <v/>
      </c>
      <c r="J442" s="3">
        <f>IF(COUNTIF(G442:I442,"(not assigned)")=0,"Ready","Needs grid entry")</f>
        <v/>
      </c>
      <c r="K442" s="3" t="inlineStr"/>
      <c r="L442" s="3" t="inlineStr">
        <is>
          <t>请假</t>
        </is>
      </c>
    </row>
    <row r="443" ht="15.75" customHeight="1" s="9">
      <c r="A443" s="7" t="inlineStr">
        <is>
          <t>检</t>
        </is>
      </c>
      <c r="B443" s="7" t="n">
        <v>3</v>
      </c>
      <c r="C443" s="3" t="inlineStr">
        <is>
          <t>jiǎn</t>
        </is>
      </c>
      <c r="D443" s="3" t="n">
        <v>3</v>
      </c>
      <c r="E443" s="3" t="inlineStr">
        <is>
          <t>J</t>
        </is>
      </c>
      <c r="F443" s="3" t="inlineStr">
        <is>
          <t>IAN</t>
        </is>
      </c>
      <c r="G443" s="3">
        <f>IFERROR(IF(INDEX('HMM Actors'!$B:$B,MATCH(E443,'HMM Actors'!$A:$A,0))="","(not assigned)",INDEX('HMM Actors'!$B:$B,MATCH(E443,'HMM Actors'!$A:$A,0))),"(not assigned)")</f>
        <v/>
      </c>
      <c r="H443" s="3">
        <f>IFERROR(IF(INDEX('HMM Locations'!$B:$B,MATCH(F443,'HMM Locations'!$A:$A,0))="","(not assigned)",INDEX('HMM Locations'!$B:$B,MATCH(F443,'HMM Locations'!$A:$A,0))),"(not assigned)")</f>
        <v/>
      </c>
      <c r="I443" s="3">
        <f>IFERROR(IF(INDEX('HMM Locations'!$C:$G,MATCH(F443,'HMM Locations'!$A:$A,0),D443)="","(not assigned)",INDEX('HMM Locations'!$C:$G,MATCH(F443,'HMM Locations'!$A:$A,0),D443)),"(not assigned)")</f>
        <v/>
      </c>
      <c r="J443" s="3">
        <f>IF(COUNTIF(G443:I443,"(not assigned)")=0,"Ready","Needs grid entry")</f>
        <v/>
      </c>
      <c r="K443" s="3" t="inlineStr"/>
      <c r="L443" s="3" t="inlineStr">
        <is>
          <t>检查</t>
        </is>
      </c>
    </row>
    <row r="444" ht="15.75" customHeight="1" s="9">
      <c r="A444" s="7" t="inlineStr">
        <is>
          <t>简</t>
        </is>
      </c>
      <c r="B444" s="7" t="n">
        <v>3</v>
      </c>
      <c r="C444" s="3" t="inlineStr">
        <is>
          <t>jiǎn</t>
        </is>
      </c>
      <c r="D444" s="3" t="n">
        <v>3</v>
      </c>
      <c r="E444" s="3" t="inlineStr">
        <is>
          <t>J</t>
        </is>
      </c>
      <c r="F444" s="3" t="inlineStr">
        <is>
          <t>IAN</t>
        </is>
      </c>
      <c r="G444" s="3">
        <f>IFERROR(IF(INDEX('HMM Actors'!$B:$B,MATCH(E444,'HMM Actors'!$A:$A,0))="","(not assigned)",INDEX('HMM Actors'!$B:$B,MATCH(E444,'HMM Actors'!$A:$A,0))),"(not assigned)")</f>
        <v/>
      </c>
      <c r="H444" s="3">
        <f>IFERROR(IF(INDEX('HMM Locations'!$B:$B,MATCH(F444,'HMM Locations'!$A:$A,0))="","(not assigned)",INDEX('HMM Locations'!$B:$B,MATCH(F444,'HMM Locations'!$A:$A,0))),"(not assigned)")</f>
        <v/>
      </c>
      <c r="I444" s="3">
        <f>IFERROR(IF(INDEX('HMM Locations'!$C:$G,MATCH(F444,'HMM Locations'!$A:$A,0),D444)="","(not assigned)",INDEX('HMM Locations'!$C:$G,MATCH(F444,'HMM Locations'!$A:$A,0),D444)),"(not assigned)")</f>
        <v/>
      </c>
      <c r="J444" s="3">
        <f>IF(COUNTIF(G444:I444,"(not assigned)")=0,"Ready","Needs grid entry")</f>
        <v/>
      </c>
      <c r="K444" s="3" t="inlineStr"/>
      <c r="L444" s="3" t="inlineStr">
        <is>
          <t>简单</t>
        </is>
      </c>
    </row>
    <row r="445" ht="15.75" customHeight="1" s="9">
      <c r="A445" s="7" t="inlineStr">
        <is>
          <t>健</t>
        </is>
      </c>
      <c r="B445" s="7" t="n">
        <v>3</v>
      </c>
      <c r="C445" s="3" t="inlineStr">
        <is>
          <t>jiàn</t>
        </is>
      </c>
      <c r="D445" s="3" t="n">
        <v>4</v>
      </c>
      <c r="E445" s="3" t="inlineStr">
        <is>
          <t>J</t>
        </is>
      </c>
      <c r="F445" s="3" t="inlineStr">
        <is>
          <t>IAN</t>
        </is>
      </c>
      <c r="G445" s="3">
        <f>IFERROR(IF(INDEX('HMM Actors'!$B:$B,MATCH(E445,'HMM Actors'!$A:$A,0))="","(not assigned)",INDEX('HMM Actors'!$B:$B,MATCH(E445,'HMM Actors'!$A:$A,0))),"(not assigned)")</f>
        <v/>
      </c>
      <c r="H445" s="3">
        <f>IFERROR(IF(INDEX('HMM Locations'!$B:$B,MATCH(F445,'HMM Locations'!$A:$A,0))="","(not assigned)",INDEX('HMM Locations'!$B:$B,MATCH(F445,'HMM Locations'!$A:$A,0))),"(not assigned)")</f>
        <v/>
      </c>
      <c r="I445" s="3">
        <f>IFERROR(IF(INDEX('HMM Locations'!$C:$G,MATCH(F445,'HMM Locations'!$A:$A,0),D445)="","(not assigned)",INDEX('HMM Locations'!$C:$G,MATCH(F445,'HMM Locations'!$A:$A,0),D445)),"(not assigned)")</f>
        <v/>
      </c>
      <c r="J445" s="3">
        <f>IF(COUNTIF(G445:I445,"(not assigned)")=0,"Ready","Needs grid entry")</f>
        <v/>
      </c>
      <c r="K445" s="3" t="inlineStr"/>
      <c r="L445" s="3" t="inlineStr">
        <is>
          <t>健康</t>
        </is>
      </c>
    </row>
    <row r="446" ht="15.75" customHeight="1" s="9">
      <c r="A446" s="7" t="inlineStr">
        <is>
          <t>讲</t>
        </is>
      </c>
      <c r="B446" s="7" t="n">
        <v>3</v>
      </c>
      <c r="C446" s="3" t="inlineStr">
        <is>
          <t>jiǎng</t>
        </is>
      </c>
      <c r="D446" s="3" t="n">
        <v>3</v>
      </c>
      <c r="E446" s="3" t="inlineStr">
        <is>
          <t>J</t>
        </is>
      </c>
      <c r="F446" s="3" t="inlineStr">
        <is>
          <t>IANG</t>
        </is>
      </c>
      <c r="G446" s="3">
        <f>IFERROR(IF(INDEX('HMM Actors'!$B:$B,MATCH(E446,'HMM Actors'!$A:$A,0))="","(not assigned)",INDEX('HMM Actors'!$B:$B,MATCH(E446,'HMM Actors'!$A:$A,0))),"(not assigned)")</f>
        <v/>
      </c>
      <c r="H446" s="3">
        <f>IFERROR(IF(INDEX('HMM Locations'!$B:$B,MATCH(F446,'HMM Locations'!$A:$A,0))="","(not assigned)",INDEX('HMM Locations'!$B:$B,MATCH(F446,'HMM Locations'!$A:$A,0))),"(not assigned)")</f>
        <v/>
      </c>
      <c r="I446" s="3">
        <f>IFERROR(IF(INDEX('HMM Locations'!$C:$G,MATCH(F446,'HMM Locations'!$A:$A,0),D446)="","(not assigned)",INDEX('HMM Locations'!$C:$G,MATCH(F446,'HMM Locations'!$A:$A,0),D446)),"(not assigned)")</f>
        <v/>
      </c>
      <c r="J446" s="3">
        <f>IF(COUNTIF(G446:I446,"(not assigned)")=0,"Ready","Needs grid entry")</f>
        <v/>
      </c>
      <c r="K446" s="3" t="inlineStr"/>
      <c r="L446" s="3" t="inlineStr">
        <is>
          <t>讲</t>
        </is>
      </c>
    </row>
    <row r="447" ht="15.75" customHeight="1" s="9">
      <c r="A447" s="7" t="inlineStr">
        <is>
          <t>蕉</t>
        </is>
      </c>
      <c r="B447" s="7" t="n">
        <v>3</v>
      </c>
      <c r="C447" s="3" t="inlineStr">
        <is>
          <t>jiāo</t>
        </is>
      </c>
      <c r="D447" s="3" t="n">
        <v>1</v>
      </c>
      <c r="E447" s="3" t="inlineStr">
        <is>
          <t>J</t>
        </is>
      </c>
      <c r="F447" s="3" t="inlineStr">
        <is>
          <t>IAO</t>
        </is>
      </c>
      <c r="G447" s="3">
        <f>IFERROR(IF(INDEX('HMM Actors'!$B:$B,MATCH(E447,'HMM Actors'!$A:$A,0))="","(not assigned)",INDEX('HMM Actors'!$B:$B,MATCH(E447,'HMM Actors'!$A:$A,0))),"(not assigned)")</f>
        <v/>
      </c>
      <c r="H447" s="3">
        <f>IFERROR(IF(INDEX('HMM Locations'!$B:$B,MATCH(F447,'HMM Locations'!$A:$A,0))="","(not assigned)",INDEX('HMM Locations'!$B:$B,MATCH(F447,'HMM Locations'!$A:$A,0))),"(not assigned)")</f>
        <v/>
      </c>
      <c r="I447" s="3">
        <f>IFERROR(IF(INDEX('HMM Locations'!$C:$G,MATCH(F447,'HMM Locations'!$A:$A,0),D447)="","(not assigned)",INDEX('HMM Locations'!$C:$G,MATCH(F447,'HMM Locations'!$A:$A,0),D447)),"(not assigned)")</f>
        <v/>
      </c>
      <c r="J447" s="3">
        <f>IF(COUNTIF(G447:I447,"(not assigned)")=0,"Ready","Needs grid entry")</f>
        <v/>
      </c>
      <c r="K447" s="3" t="inlineStr"/>
      <c r="L447" s="3" t="inlineStr">
        <is>
          <t>香蕉</t>
        </is>
      </c>
    </row>
    <row r="448" ht="15.75" customHeight="1" s="9">
      <c r="A448" s="7" t="inlineStr">
        <is>
          <t>角</t>
        </is>
      </c>
      <c r="B448" s="7" t="n">
        <v>3</v>
      </c>
      <c r="C448" s="3" t="inlineStr">
        <is>
          <t>jiǎo</t>
        </is>
      </c>
      <c r="D448" s="3" t="n">
        <v>3</v>
      </c>
      <c r="E448" s="3" t="inlineStr">
        <is>
          <t>J</t>
        </is>
      </c>
      <c r="F448" s="3" t="inlineStr">
        <is>
          <t>IAO</t>
        </is>
      </c>
      <c r="G448" s="3">
        <f>IFERROR(IF(INDEX('HMM Actors'!$B:$B,MATCH(E448,'HMM Actors'!$A:$A,0))="","(not assigned)",INDEX('HMM Actors'!$B:$B,MATCH(E448,'HMM Actors'!$A:$A,0))),"(not assigned)")</f>
        <v/>
      </c>
      <c r="H448" s="3">
        <f>IFERROR(IF(INDEX('HMM Locations'!$B:$B,MATCH(F448,'HMM Locations'!$A:$A,0))="","(not assigned)",INDEX('HMM Locations'!$B:$B,MATCH(F448,'HMM Locations'!$A:$A,0))),"(not assigned)")</f>
        <v/>
      </c>
      <c r="I448" s="3">
        <f>IFERROR(IF(INDEX('HMM Locations'!$C:$G,MATCH(F448,'HMM Locations'!$A:$A,0),D448)="","(not assigned)",INDEX('HMM Locations'!$C:$G,MATCH(F448,'HMM Locations'!$A:$A,0),D448)),"(not assigned)")</f>
        <v/>
      </c>
      <c r="J448" s="3">
        <f>IF(COUNTIF(G448:I448,"(not assigned)")=0,"Ready","Needs grid entry")</f>
        <v/>
      </c>
      <c r="K448" s="3" t="inlineStr"/>
      <c r="L448" s="3" t="inlineStr">
        <is>
          <t>角</t>
        </is>
      </c>
    </row>
    <row r="449" ht="15.75" customHeight="1" s="9">
      <c r="A449" s="7" t="inlineStr">
        <is>
          <t>脚</t>
        </is>
      </c>
      <c r="B449" s="7" t="n">
        <v>3</v>
      </c>
      <c r="C449" s="3" t="inlineStr">
        <is>
          <t>jiǎo</t>
        </is>
      </c>
      <c r="D449" s="3" t="n">
        <v>3</v>
      </c>
      <c r="E449" s="3" t="inlineStr">
        <is>
          <t>J</t>
        </is>
      </c>
      <c r="F449" s="3" t="inlineStr">
        <is>
          <t>IAO</t>
        </is>
      </c>
      <c r="G449" s="3">
        <f>IFERROR(IF(INDEX('HMM Actors'!$B:$B,MATCH(E449,'HMM Actors'!$A:$A,0))="","(not assigned)",INDEX('HMM Actors'!$B:$B,MATCH(E449,'HMM Actors'!$A:$A,0))),"(not assigned)")</f>
        <v/>
      </c>
      <c r="H449" s="3">
        <f>IFERROR(IF(INDEX('HMM Locations'!$B:$B,MATCH(F449,'HMM Locations'!$A:$A,0))="","(not assigned)",INDEX('HMM Locations'!$B:$B,MATCH(F449,'HMM Locations'!$A:$A,0))),"(not assigned)")</f>
        <v/>
      </c>
      <c r="I449" s="3">
        <f>IFERROR(IF(INDEX('HMM Locations'!$C:$G,MATCH(F449,'HMM Locations'!$A:$A,0),D449)="","(not assigned)",INDEX('HMM Locations'!$C:$G,MATCH(F449,'HMM Locations'!$A:$A,0),D449)),"(not assigned)")</f>
        <v/>
      </c>
      <c r="J449" s="3">
        <f>IF(COUNTIF(G449:I449,"(not assigned)")=0,"Ready","Needs grid entry")</f>
        <v/>
      </c>
      <c r="K449" s="3" t="inlineStr"/>
      <c r="L449" s="3" t="inlineStr">
        <is>
          <t>脚</t>
        </is>
      </c>
    </row>
    <row r="450" ht="15.75" customHeight="1" s="9">
      <c r="A450" s="7" t="inlineStr">
        <is>
          <t>较</t>
        </is>
      </c>
      <c r="B450" s="7" t="n">
        <v>3</v>
      </c>
      <c r="C450" s="3" t="inlineStr">
        <is>
          <t>jiào</t>
        </is>
      </c>
      <c r="D450" s="3" t="n">
        <v>4</v>
      </c>
      <c r="E450" s="3" t="inlineStr">
        <is>
          <t>J</t>
        </is>
      </c>
      <c r="F450" s="3" t="inlineStr">
        <is>
          <t>IAO</t>
        </is>
      </c>
      <c r="G450" s="3">
        <f>IFERROR(IF(INDEX('HMM Actors'!$B:$B,MATCH(E450,'HMM Actors'!$A:$A,0))="","(not assigned)",INDEX('HMM Actors'!$B:$B,MATCH(E450,'HMM Actors'!$A:$A,0))),"(not assigned)")</f>
        <v/>
      </c>
      <c r="H450" s="3">
        <f>IFERROR(IF(INDEX('HMM Locations'!$B:$B,MATCH(F450,'HMM Locations'!$A:$A,0))="","(not assigned)",INDEX('HMM Locations'!$B:$B,MATCH(F450,'HMM Locations'!$A:$A,0))),"(not assigned)")</f>
        <v/>
      </c>
      <c r="I450" s="3">
        <f>IFERROR(IF(INDEX('HMM Locations'!$C:$G,MATCH(F450,'HMM Locations'!$A:$A,0),D450)="","(not assigned)",INDEX('HMM Locations'!$C:$G,MATCH(F450,'HMM Locations'!$A:$A,0),D450)),"(not assigned)")</f>
        <v/>
      </c>
      <c r="J450" s="3">
        <f>IF(COUNTIF(G450:I450,"(not assigned)")=0,"Ready","Needs grid entry")</f>
        <v/>
      </c>
      <c r="K450" s="3" t="inlineStr"/>
      <c r="L450" s="3" t="inlineStr">
        <is>
          <t>比较</t>
        </is>
      </c>
    </row>
    <row r="451" ht="15.75" customHeight="1" s="9">
      <c r="A451" s="7" t="inlineStr">
        <is>
          <t>接</t>
        </is>
      </c>
      <c r="B451" s="7" t="n">
        <v>3</v>
      </c>
      <c r="C451" s="3" t="inlineStr">
        <is>
          <t>jiē</t>
        </is>
      </c>
      <c r="D451" s="3" t="n">
        <v>1</v>
      </c>
      <c r="E451" s="3" t="inlineStr">
        <is>
          <t>J</t>
        </is>
      </c>
      <c r="F451" s="3" t="inlineStr">
        <is>
          <t>IE</t>
        </is>
      </c>
      <c r="G451" s="3">
        <f>IFERROR(IF(INDEX('HMM Actors'!$B:$B,MATCH(E451,'HMM Actors'!$A:$A,0))="","(not assigned)",INDEX('HMM Actors'!$B:$B,MATCH(E451,'HMM Actors'!$A:$A,0))),"(not assigned)")</f>
        <v/>
      </c>
      <c r="H451" s="3">
        <f>IFERROR(IF(INDEX('HMM Locations'!$B:$B,MATCH(F451,'HMM Locations'!$A:$A,0))="","(not assigned)",INDEX('HMM Locations'!$B:$B,MATCH(F451,'HMM Locations'!$A:$A,0))),"(not assigned)")</f>
        <v/>
      </c>
      <c r="I451" s="3">
        <f>IFERROR(IF(INDEX('HMM Locations'!$C:$G,MATCH(F451,'HMM Locations'!$A:$A,0),D451)="","(not assigned)",INDEX('HMM Locations'!$C:$G,MATCH(F451,'HMM Locations'!$A:$A,0),D451)),"(not assigned)")</f>
        <v/>
      </c>
      <c r="J451" s="3">
        <f>IF(COUNTIF(G451:I451,"(not assigned)")=0,"Ready","Needs grid entry")</f>
        <v/>
      </c>
      <c r="K451" s="3" t="inlineStr"/>
      <c r="L451" s="3" t="inlineStr">
        <is>
          <t>接</t>
        </is>
      </c>
    </row>
    <row r="452" ht="15.75" customHeight="1" s="9">
      <c r="A452" s="7" t="inlineStr">
        <is>
          <t>街</t>
        </is>
      </c>
      <c r="B452" s="7" t="n">
        <v>3</v>
      </c>
      <c r="C452" s="3" t="inlineStr">
        <is>
          <t>jiē</t>
        </is>
      </c>
      <c r="D452" s="3" t="n">
        <v>1</v>
      </c>
      <c r="E452" s="3" t="inlineStr">
        <is>
          <t>J</t>
        </is>
      </c>
      <c r="F452" s="3" t="inlineStr">
        <is>
          <t>IE</t>
        </is>
      </c>
      <c r="G452" s="3">
        <f>IFERROR(IF(INDEX('HMM Actors'!$B:$B,MATCH(E452,'HMM Actors'!$A:$A,0))="","(not assigned)",INDEX('HMM Actors'!$B:$B,MATCH(E452,'HMM Actors'!$A:$A,0))),"(not assigned)")</f>
        <v/>
      </c>
      <c r="H452" s="3">
        <f>IFERROR(IF(INDEX('HMM Locations'!$B:$B,MATCH(F452,'HMM Locations'!$A:$A,0))="","(not assigned)",INDEX('HMM Locations'!$B:$B,MATCH(F452,'HMM Locations'!$A:$A,0))),"(not assigned)")</f>
        <v/>
      </c>
      <c r="I452" s="3">
        <f>IFERROR(IF(INDEX('HMM Locations'!$C:$G,MATCH(F452,'HMM Locations'!$A:$A,0),D452)="","(not assigned)",INDEX('HMM Locations'!$C:$G,MATCH(F452,'HMM Locations'!$A:$A,0),D452)),"(not assigned)")</f>
        <v/>
      </c>
      <c r="J452" s="3">
        <f>IF(COUNTIF(G452:I452,"(not assigned)")=0,"Ready","Needs grid entry")</f>
        <v/>
      </c>
      <c r="K452" s="3" t="inlineStr"/>
      <c r="L452" s="3" t="inlineStr">
        <is>
          <t>街道</t>
        </is>
      </c>
    </row>
    <row r="453" ht="15.75" customHeight="1" s="9">
      <c r="A453" s="7" t="inlineStr">
        <is>
          <t>节</t>
        </is>
      </c>
      <c r="B453" s="7" t="n">
        <v>3</v>
      </c>
      <c r="C453" s="3" t="inlineStr">
        <is>
          <t>jié</t>
        </is>
      </c>
      <c r="D453" s="3" t="n">
        <v>2</v>
      </c>
      <c r="E453" s="3" t="inlineStr">
        <is>
          <t>J</t>
        </is>
      </c>
      <c r="F453" s="3" t="inlineStr">
        <is>
          <t>IE</t>
        </is>
      </c>
      <c r="G453" s="3">
        <f>IFERROR(IF(INDEX('HMM Actors'!$B:$B,MATCH(E453,'HMM Actors'!$A:$A,0))="","(not assigned)",INDEX('HMM Actors'!$B:$B,MATCH(E453,'HMM Actors'!$A:$A,0))),"(not assigned)")</f>
        <v/>
      </c>
      <c r="H453" s="3">
        <f>IFERROR(IF(INDEX('HMM Locations'!$B:$B,MATCH(F453,'HMM Locations'!$A:$A,0))="","(not assigned)",INDEX('HMM Locations'!$B:$B,MATCH(F453,'HMM Locations'!$A:$A,0))),"(not assigned)")</f>
        <v/>
      </c>
      <c r="I453" s="3">
        <f>IFERROR(IF(INDEX('HMM Locations'!$C:$G,MATCH(F453,'HMM Locations'!$A:$A,0),D453)="","(not assigned)",INDEX('HMM Locations'!$C:$G,MATCH(F453,'HMM Locations'!$A:$A,0),D453)),"(not assigned)")</f>
        <v/>
      </c>
      <c r="J453" s="3">
        <f>IF(COUNTIF(G453:I453,"(not assigned)")=0,"Ready","Needs grid entry")</f>
        <v/>
      </c>
      <c r="K453" s="3" t="inlineStr"/>
      <c r="L453" s="3" t="inlineStr">
        <is>
          <t>季节、节目、节日</t>
        </is>
      </c>
    </row>
    <row r="454" ht="15.75" customHeight="1" s="9">
      <c r="A454" s="7" t="inlineStr">
        <is>
          <t>结</t>
        </is>
      </c>
      <c r="B454" s="7" t="n">
        <v>3</v>
      </c>
      <c r="C454" s="3" t="inlineStr">
        <is>
          <t>jié</t>
        </is>
      </c>
      <c r="D454" s="3" t="n">
        <v>2</v>
      </c>
      <c r="E454" s="3" t="inlineStr">
        <is>
          <t>J</t>
        </is>
      </c>
      <c r="F454" s="3" t="inlineStr">
        <is>
          <t>IE</t>
        </is>
      </c>
      <c r="G454" s="3">
        <f>IFERROR(IF(INDEX('HMM Actors'!$B:$B,MATCH(E454,'HMM Actors'!$A:$A,0))="","(not assigned)",INDEX('HMM Actors'!$B:$B,MATCH(E454,'HMM Actors'!$A:$A,0))),"(not assigned)")</f>
        <v/>
      </c>
      <c r="H454" s="3">
        <f>IFERROR(IF(INDEX('HMM Locations'!$B:$B,MATCH(F454,'HMM Locations'!$A:$A,0))="","(not assigned)",INDEX('HMM Locations'!$B:$B,MATCH(F454,'HMM Locations'!$A:$A,0))),"(not assigned)")</f>
        <v/>
      </c>
      <c r="I454" s="3">
        <f>IFERROR(IF(INDEX('HMM Locations'!$C:$G,MATCH(F454,'HMM Locations'!$A:$A,0),D454)="","(not assigned)",INDEX('HMM Locations'!$C:$G,MATCH(F454,'HMM Locations'!$A:$A,0),D454)),"(not assigned)")</f>
        <v/>
      </c>
      <c r="J454" s="3">
        <f>IF(COUNTIF(G454:I454,"(not assigned)")=0,"Ready","Needs grid entry")</f>
        <v/>
      </c>
      <c r="K454" s="3" t="inlineStr"/>
      <c r="L454" s="3" t="inlineStr">
        <is>
          <t>结婚、结束</t>
        </is>
      </c>
    </row>
    <row r="455" ht="15.75" customHeight="1" s="9">
      <c r="A455" s="7" t="inlineStr">
        <is>
          <t>解</t>
        </is>
      </c>
      <c r="B455" s="7" t="n">
        <v>3</v>
      </c>
      <c r="C455" s="3" t="inlineStr">
        <is>
          <t>jiě</t>
        </is>
      </c>
      <c r="D455" s="3" t="n">
        <v>3</v>
      </c>
      <c r="E455" s="3" t="inlineStr">
        <is>
          <t>J</t>
        </is>
      </c>
      <c r="F455" s="3" t="inlineStr">
        <is>
          <t>IE</t>
        </is>
      </c>
      <c r="G455" s="3">
        <f>IFERROR(IF(INDEX('HMM Actors'!$B:$B,MATCH(E455,'HMM Actors'!$A:$A,0))="","(not assigned)",INDEX('HMM Actors'!$B:$B,MATCH(E455,'HMM Actors'!$A:$A,0))),"(not assigned)")</f>
        <v/>
      </c>
      <c r="H455" s="3">
        <f>IFERROR(IF(INDEX('HMM Locations'!$B:$B,MATCH(F455,'HMM Locations'!$A:$A,0))="","(not assigned)",INDEX('HMM Locations'!$B:$B,MATCH(F455,'HMM Locations'!$A:$A,0))),"(not assigned)")</f>
        <v/>
      </c>
      <c r="I455" s="3">
        <f>IFERROR(IF(INDEX('HMM Locations'!$C:$G,MATCH(F455,'HMM Locations'!$A:$A,0),D455)="","(not assigned)",INDEX('HMM Locations'!$C:$G,MATCH(F455,'HMM Locations'!$A:$A,0),D455)),"(not assigned)")</f>
        <v/>
      </c>
      <c r="J455" s="3">
        <f>IF(COUNTIF(G455:I455,"(not assigned)")=0,"Ready","Needs grid entry")</f>
        <v/>
      </c>
      <c r="K455" s="3" t="inlineStr"/>
      <c r="L455" s="3" t="inlineStr">
        <is>
          <t>解决、了解</t>
        </is>
      </c>
    </row>
    <row r="456" ht="15.75" customHeight="1" s="9">
      <c r="A456" s="7" t="inlineStr">
        <is>
          <t>界</t>
        </is>
      </c>
      <c r="B456" s="7" t="n">
        <v>3</v>
      </c>
      <c r="C456" s="3" t="inlineStr">
        <is>
          <t>jiè</t>
        </is>
      </c>
      <c r="D456" s="3" t="n">
        <v>4</v>
      </c>
      <c r="E456" s="3" t="inlineStr">
        <is>
          <t>J</t>
        </is>
      </c>
      <c r="F456" s="3" t="inlineStr">
        <is>
          <t>IE</t>
        </is>
      </c>
      <c r="G456" s="3">
        <f>IFERROR(IF(INDEX('HMM Actors'!$B:$B,MATCH(E456,'HMM Actors'!$A:$A,0))="","(not assigned)",INDEX('HMM Actors'!$B:$B,MATCH(E456,'HMM Actors'!$A:$A,0))),"(not assigned)")</f>
        <v/>
      </c>
      <c r="H456" s="3">
        <f>IFERROR(IF(INDEX('HMM Locations'!$B:$B,MATCH(F456,'HMM Locations'!$A:$A,0))="","(not assigned)",INDEX('HMM Locations'!$B:$B,MATCH(F456,'HMM Locations'!$A:$A,0))),"(not assigned)")</f>
        <v/>
      </c>
      <c r="I456" s="3">
        <f>IFERROR(IF(INDEX('HMM Locations'!$C:$G,MATCH(F456,'HMM Locations'!$A:$A,0),D456)="","(not assigned)",INDEX('HMM Locations'!$C:$G,MATCH(F456,'HMM Locations'!$A:$A,0),D456)),"(not assigned)")</f>
        <v/>
      </c>
      <c r="J456" s="3">
        <f>IF(COUNTIF(G456:I456,"(not assigned)")=0,"Ready","Needs grid entry")</f>
        <v/>
      </c>
      <c r="K456" s="3" t="inlineStr"/>
      <c r="L456" s="3" t="inlineStr">
        <is>
          <t>世界</t>
        </is>
      </c>
    </row>
    <row r="457" ht="15.75" customHeight="1" s="9">
      <c r="A457" s="7" t="inlineStr">
        <is>
          <t>借</t>
        </is>
      </c>
      <c r="B457" s="7" t="n">
        <v>3</v>
      </c>
      <c r="C457" s="3" t="inlineStr">
        <is>
          <t>jiè</t>
        </is>
      </c>
      <c r="D457" s="3" t="n">
        <v>4</v>
      </c>
      <c r="E457" s="3" t="inlineStr">
        <is>
          <t>J</t>
        </is>
      </c>
      <c r="F457" s="3" t="inlineStr">
        <is>
          <t>IE</t>
        </is>
      </c>
      <c r="G457" s="3">
        <f>IFERROR(IF(INDEX('HMM Actors'!$B:$B,MATCH(E457,'HMM Actors'!$A:$A,0))="","(not assigned)",INDEX('HMM Actors'!$B:$B,MATCH(E457,'HMM Actors'!$A:$A,0))),"(not assigned)")</f>
        <v/>
      </c>
      <c r="H457" s="3">
        <f>IFERROR(IF(INDEX('HMM Locations'!$B:$B,MATCH(F457,'HMM Locations'!$A:$A,0))="","(not assigned)",INDEX('HMM Locations'!$B:$B,MATCH(F457,'HMM Locations'!$A:$A,0))),"(not assigned)")</f>
        <v/>
      </c>
      <c r="I457" s="3">
        <f>IFERROR(IF(INDEX('HMM Locations'!$C:$G,MATCH(F457,'HMM Locations'!$A:$A,0),D457)="","(not assigned)",INDEX('HMM Locations'!$C:$G,MATCH(F457,'HMM Locations'!$A:$A,0),D457)),"(not assigned)")</f>
        <v/>
      </c>
      <c r="J457" s="3">
        <f>IF(COUNTIF(G457:I457,"(not assigned)")=0,"Ready","Needs grid entry")</f>
        <v/>
      </c>
      <c r="K457" s="3" t="inlineStr"/>
      <c r="L457" s="3" t="inlineStr">
        <is>
          <t>借</t>
        </is>
      </c>
    </row>
    <row r="458" ht="15.75" customHeight="1" s="9">
      <c r="A458" s="7" t="inlineStr">
        <is>
          <t>斤</t>
        </is>
      </c>
      <c r="B458" s="7" t="n">
        <v>3</v>
      </c>
      <c r="C458" s="3" t="inlineStr">
        <is>
          <t>jīn</t>
        </is>
      </c>
      <c r="D458" s="3" t="n">
        <v>1</v>
      </c>
      <c r="E458" s="3" t="inlineStr">
        <is>
          <t>J</t>
        </is>
      </c>
      <c r="F458" s="3" t="inlineStr">
        <is>
          <t>IN</t>
        </is>
      </c>
      <c r="G458" s="3">
        <f>IFERROR(IF(INDEX('HMM Actors'!$B:$B,MATCH(E458,'HMM Actors'!$A:$A,0))="","(not assigned)",INDEX('HMM Actors'!$B:$B,MATCH(E458,'HMM Actors'!$A:$A,0))),"(not assigned)")</f>
        <v/>
      </c>
      <c r="H458" s="3">
        <f>IFERROR(IF(INDEX('HMM Locations'!$B:$B,MATCH(F458,'HMM Locations'!$A:$A,0))="","(not assigned)",INDEX('HMM Locations'!$B:$B,MATCH(F458,'HMM Locations'!$A:$A,0))),"(not assigned)")</f>
        <v/>
      </c>
      <c r="I458" s="3">
        <f>IFERROR(IF(INDEX('HMM Locations'!$C:$G,MATCH(F458,'HMM Locations'!$A:$A,0),D458)="","(not assigned)",INDEX('HMM Locations'!$C:$G,MATCH(F458,'HMM Locations'!$A:$A,0),D458)),"(not assigned)")</f>
        <v/>
      </c>
      <c r="J458" s="3">
        <f>IF(COUNTIF(G458:I458,"(not assigned)")=0,"Ready","Needs grid entry")</f>
        <v/>
      </c>
      <c r="K458" s="3" t="inlineStr"/>
      <c r="L458" s="3" t="inlineStr">
        <is>
          <t>公斤</t>
        </is>
      </c>
    </row>
    <row r="459" ht="15.75" customHeight="1" s="9">
      <c r="A459" s="7" t="inlineStr">
        <is>
          <t>净</t>
        </is>
      </c>
      <c r="B459" s="7" t="n">
        <v>3</v>
      </c>
      <c r="C459" s="3" t="inlineStr">
        <is>
          <t>jìng</t>
        </is>
      </c>
      <c r="D459" s="3" t="n">
        <v>4</v>
      </c>
      <c r="E459" s="3" t="inlineStr">
        <is>
          <t>J</t>
        </is>
      </c>
      <c r="F459" s="3" t="inlineStr">
        <is>
          <t>ING</t>
        </is>
      </c>
      <c r="G459" s="3">
        <f>IFERROR(IF(INDEX('HMM Actors'!$B:$B,MATCH(E459,'HMM Actors'!$A:$A,0))="","(not assigned)",INDEX('HMM Actors'!$B:$B,MATCH(E459,'HMM Actors'!$A:$A,0))),"(not assigned)")</f>
        <v/>
      </c>
      <c r="H459" s="3">
        <f>IFERROR(IF(INDEX('HMM Locations'!$B:$B,MATCH(F459,'HMM Locations'!$A:$A,0))="","(not assigned)",INDEX('HMM Locations'!$B:$B,MATCH(F459,'HMM Locations'!$A:$A,0))),"(not assigned)")</f>
        <v/>
      </c>
      <c r="I459" s="3">
        <f>IFERROR(IF(INDEX('HMM Locations'!$C:$G,MATCH(F459,'HMM Locations'!$A:$A,0),D459)="","(not assigned)",INDEX('HMM Locations'!$C:$G,MATCH(F459,'HMM Locations'!$A:$A,0),D459)),"(not assigned)")</f>
        <v/>
      </c>
      <c r="J459" s="3">
        <f>IF(COUNTIF(G459:I459,"(not assigned)")=0,"Ready","Needs grid entry")</f>
        <v/>
      </c>
      <c r="K459" s="3" t="inlineStr"/>
      <c r="L459" s="3" t="inlineStr">
        <is>
          <t>干净</t>
        </is>
      </c>
    </row>
    <row r="460" ht="15.75" customHeight="1" s="9">
      <c r="A460" s="7" t="inlineStr">
        <is>
          <t>境</t>
        </is>
      </c>
      <c r="B460" s="7" t="n">
        <v>3</v>
      </c>
      <c r="C460" s="3" t="inlineStr">
        <is>
          <t>jìng</t>
        </is>
      </c>
      <c r="D460" s="3" t="n">
        <v>4</v>
      </c>
      <c r="E460" s="3" t="inlineStr">
        <is>
          <t>J</t>
        </is>
      </c>
      <c r="F460" s="3" t="inlineStr">
        <is>
          <t>ING</t>
        </is>
      </c>
      <c r="G460" s="3">
        <f>IFERROR(IF(INDEX('HMM Actors'!$B:$B,MATCH(E460,'HMM Actors'!$A:$A,0))="","(not assigned)",INDEX('HMM Actors'!$B:$B,MATCH(E460,'HMM Actors'!$A:$A,0))),"(not assigned)")</f>
        <v/>
      </c>
      <c r="H460" s="3">
        <f>IFERROR(IF(INDEX('HMM Locations'!$B:$B,MATCH(F460,'HMM Locations'!$A:$A,0))="","(not assigned)",INDEX('HMM Locations'!$B:$B,MATCH(F460,'HMM Locations'!$A:$A,0))),"(not assigned)")</f>
        <v/>
      </c>
      <c r="I460" s="3">
        <f>IFERROR(IF(INDEX('HMM Locations'!$C:$G,MATCH(F460,'HMM Locations'!$A:$A,0),D460)="","(not assigned)",INDEX('HMM Locations'!$C:$G,MATCH(F460,'HMM Locations'!$A:$A,0),D460)),"(not assigned)")</f>
        <v/>
      </c>
      <c r="J460" s="3">
        <f>IF(COUNTIF(G460:I460,"(not assigned)")=0,"Ready","Needs grid entry")</f>
        <v/>
      </c>
      <c r="K460" s="3" t="inlineStr"/>
      <c r="L460" s="3" t="inlineStr">
        <is>
          <t>环境</t>
        </is>
      </c>
    </row>
    <row r="461" ht="15.75" customHeight="1" s="9">
      <c r="A461" s="7" t="inlineStr">
        <is>
          <t>静</t>
        </is>
      </c>
      <c r="B461" s="7" t="n">
        <v>3</v>
      </c>
      <c r="C461" s="3" t="inlineStr">
        <is>
          <t>jìng</t>
        </is>
      </c>
      <c r="D461" s="3" t="n">
        <v>4</v>
      </c>
      <c r="E461" s="3" t="inlineStr">
        <is>
          <t>J</t>
        </is>
      </c>
      <c r="F461" s="3" t="inlineStr">
        <is>
          <t>ING</t>
        </is>
      </c>
      <c r="G461" s="3">
        <f>IFERROR(IF(INDEX('HMM Actors'!$B:$B,MATCH(E461,'HMM Actors'!$A:$A,0))="","(not assigned)",INDEX('HMM Actors'!$B:$B,MATCH(E461,'HMM Actors'!$A:$A,0))),"(not assigned)")</f>
        <v/>
      </c>
      <c r="H461" s="3">
        <f>IFERROR(IF(INDEX('HMM Locations'!$B:$B,MATCH(F461,'HMM Locations'!$A:$A,0))="","(not assigned)",INDEX('HMM Locations'!$B:$B,MATCH(F461,'HMM Locations'!$A:$A,0))),"(not assigned)")</f>
        <v/>
      </c>
      <c r="I461" s="3">
        <f>IFERROR(IF(INDEX('HMM Locations'!$C:$G,MATCH(F461,'HMM Locations'!$A:$A,0),D461)="","(not assigned)",INDEX('HMM Locations'!$C:$G,MATCH(F461,'HMM Locations'!$A:$A,0),D461)),"(not assigned)")</f>
        <v/>
      </c>
      <c r="J461" s="3">
        <f>IF(COUNTIF(G461:I461,"(not assigned)")=0,"Ready","Needs grid entry")</f>
        <v/>
      </c>
      <c r="K461" s="3" t="inlineStr"/>
      <c r="L461" s="3" t="inlineStr">
        <is>
          <t>安静</t>
        </is>
      </c>
    </row>
    <row r="462" ht="15.75" customHeight="1" s="9">
      <c r="A462" s="7" t="inlineStr">
        <is>
          <t>久</t>
        </is>
      </c>
      <c r="B462" s="7" t="n">
        <v>3</v>
      </c>
      <c r="C462" s="3" t="inlineStr">
        <is>
          <t>jiǔ</t>
        </is>
      </c>
      <c r="D462" s="3" t="n">
        <v>3</v>
      </c>
      <c r="E462" s="3" t="inlineStr">
        <is>
          <t>J</t>
        </is>
      </c>
      <c r="F462" s="3" t="inlineStr">
        <is>
          <t>IU</t>
        </is>
      </c>
      <c r="G462" s="3">
        <f>IFERROR(IF(INDEX('HMM Actors'!$B:$B,MATCH(E462,'HMM Actors'!$A:$A,0))="","(not assigned)",INDEX('HMM Actors'!$B:$B,MATCH(E462,'HMM Actors'!$A:$A,0))),"(not assigned)")</f>
        <v/>
      </c>
      <c r="H462" s="3">
        <f>IFERROR(IF(INDEX('HMM Locations'!$B:$B,MATCH(F462,'HMM Locations'!$A:$A,0))="","(not assigned)",INDEX('HMM Locations'!$B:$B,MATCH(F462,'HMM Locations'!$A:$A,0))),"(not assigned)")</f>
        <v/>
      </c>
      <c r="I462" s="3">
        <f>IFERROR(IF(INDEX('HMM Locations'!$C:$G,MATCH(F462,'HMM Locations'!$A:$A,0),D462)="","(not assigned)",INDEX('HMM Locations'!$C:$G,MATCH(F462,'HMM Locations'!$A:$A,0),D462)),"(not assigned)")</f>
        <v/>
      </c>
      <c r="J462" s="3">
        <f>IF(COUNTIF(G462:I462,"(not assigned)")=0,"Ready","Needs grid entry")</f>
        <v/>
      </c>
      <c r="K462" s="3" t="inlineStr"/>
      <c r="L462" s="3" t="inlineStr">
        <is>
          <t>久</t>
        </is>
      </c>
    </row>
    <row r="463" ht="15.75" customHeight="1" s="9">
      <c r="A463" s="7" t="inlineStr">
        <is>
          <t>酒</t>
        </is>
      </c>
      <c r="B463" s="7" t="n">
        <v>3</v>
      </c>
      <c r="C463" s="3" t="inlineStr">
        <is>
          <t>jiǔ</t>
        </is>
      </c>
      <c r="D463" s="3" t="n">
        <v>3</v>
      </c>
      <c r="E463" s="3" t="inlineStr">
        <is>
          <t>J</t>
        </is>
      </c>
      <c r="F463" s="3" t="inlineStr">
        <is>
          <t>IU</t>
        </is>
      </c>
      <c r="G463" s="3">
        <f>IFERROR(IF(INDEX('HMM Actors'!$B:$B,MATCH(E463,'HMM Actors'!$A:$A,0))="","(not assigned)",INDEX('HMM Actors'!$B:$B,MATCH(E463,'HMM Actors'!$A:$A,0))),"(not assigned)")</f>
        <v/>
      </c>
      <c r="H463" s="3">
        <f>IFERROR(IF(INDEX('HMM Locations'!$B:$B,MATCH(F463,'HMM Locations'!$A:$A,0))="","(not assigned)",INDEX('HMM Locations'!$B:$B,MATCH(F463,'HMM Locations'!$A:$A,0))),"(not assigned)")</f>
        <v/>
      </c>
      <c r="I463" s="3">
        <f>IFERROR(IF(INDEX('HMM Locations'!$C:$G,MATCH(F463,'HMM Locations'!$A:$A,0),D463)="","(not assigned)",INDEX('HMM Locations'!$C:$G,MATCH(F463,'HMM Locations'!$A:$A,0),D463)),"(not assigned)")</f>
        <v/>
      </c>
      <c r="J463" s="3">
        <f>IF(COUNTIF(G463:I463,"(not assigned)")=0,"Ready","Needs grid entry")</f>
        <v/>
      </c>
      <c r="K463" s="3" t="inlineStr"/>
      <c r="L463" s="3" t="inlineStr">
        <is>
          <t>啤酒</t>
        </is>
      </c>
    </row>
    <row r="464" ht="15.75" customHeight="1" s="9">
      <c r="A464" s="7" t="inlineStr">
        <is>
          <t>旧</t>
        </is>
      </c>
      <c r="B464" s="7" t="n">
        <v>3</v>
      </c>
      <c r="C464" s="3" t="inlineStr">
        <is>
          <t>jiù</t>
        </is>
      </c>
      <c r="D464" s="3" t="n">
        <v>4</v>
      </c>
      <c r="E464" s="3" t="inlineStr">
        <is>
          <t>J</t>
        </is>
      </c>
      <c r="F464" s="3" t="inlineStr">
        <is>
          <t>IU</t>
        </is>
      </c>
      <c r="G464" s="3">
        <f>IFERROR(IF(INDEX('HMM Actors'!$B:$B,MATCH(E464,'HMM Actors'!$A:$A,0))="","(not assigned)",INDEX('HMM Actors'!$B:$B,MATCH(E464,'HMM Actors'!$A:$A,0))),"(not assigned)")</f>
        <v/>
      </c>
      <c r="H464" s="3">
        <f>IFERROR(IF(INDEX('HMM Locations'!$B:$B,MATCH(F464,'HMM Locations'!$A:$A,0))="","(not assigned)",INDEX('HMM Locations'!$B:$B,MATCH(F464,'HMM Locations'!$A:$A,0))),"(not assigned)")</f>
        <v/>
      </c>
      <c r="I464" s="3">
        <f>IFERROR(IF(INDEX('HMM Locations'!$C:$G,MATCH(F464,'HMM Locations'!$A:$A,0),D464)="","(not assigned)",INDEX('HMM Locations'!$C:$G,MATCH(F464,'HMM Locations'!$A:$A,0),D464)),"(not assigned)")</f>
        <v/>
      </c>
      <c r="J464" s="3">
        <f>IF(COUNTIF(G464:I464,"(not assigned)")=0,"Ready","Needs grid entry")</f>
        <v/>
      </c>
      <c r="K464" s="3" t="inlineStr"/>
      <c r="L464" s="3" t="inlineStr">
        <is>
          <t>旧</t>
        </is>
      </c>
    </row>
    <row r="465" ht="15.75" customHeight="1" s="9">
      <c r="A465" s="7" t="inlineStr">
        <is>
          <t>居</t>
        </is>
      </c>
      <c r="B465" s="7" t="n">
        <v>3</v>
      </c>
      <c r="C465" s="3" t="inlineStr">
        <is>
          <t>jū</t>
        </is>
      </c>
      <c r="D465" s="3" t="n">
        <v>1</v>
      </c>
      <c r="E465" s="3" t="inlineStr">
        <is>
          <t>J</t>
        </is>
      </c>
      <c r="F465" s="3" t="inlineStr">
        <is>
          <t>U</t>
        </is>
      </c>
      <c r="G465" s="3">
        <f>IFERROR(IF(INDEX('HMM Actors'!$B:$B,MATCH(E465,'HMM Actors'!$A:$A,0))="","(not assigned)",INDEX('HMM Actors'!$B:$B,MATCH(E465,'HMM Actors'!$A:$A,0))),"(not assigned)")</f>
        <v/>
      </c>
      <c r="H465" s="3">
        <f>IFERROR(IF(INDEX('HMM Locations'!$B:$B,MATCH(F465,'HMM Locations'!$A:$A,0))="","(not assigned)",INDEX('HMM Locations'!$B:$B,MATCH(F465,'HMM Locations'!$A:$A,0))),"(not assigned)")</f>
        <v/>
      </c>
      <c r="I465" s="3">
        <f>IFERROR(IF(INDEX('HMM Locations'!$C:$G,MATCH(F465,'HMM Locations'!$A:$A,0),D465)="","(not assigned)",INDEX('HMM Locations'!$C:$G,MATCH(F465,'HMM Locations'!$A:$A,0),D465)),"(not assigned)")</f>
        <v/>
      </c>
      <c r="J465" s="3">
        <f>IF(COUNTIF(G465:I465,"(not assigned)")=0,"Ready","Needs grid entry")</f>
        <v/>
      </c>
      <c r="K465" s="3" t="inlineStr"/>
      <c r="L465" s="3" t="inlineStr">
        <is>
          <t>邻居</t>
        </is>
      </c>
    </row>
    <row r="466" ht="15.75" customHeight="1" s="9">
      <c r="A466" s="7" t="inlineStr">
        <is>
          <t>句</t>
        </is>
      </c>
      <c r="B466" s="7" t="n">
        <v>3</v>
      </c>
      <c r="C466" s="3" t="inlineStr">
        <is>
          <t>jù</t>
        </is>
      </c>
      <c r="D466" s="3" t="n">
        <v>4</v>
      </c>
      <c r="E466" s="3" t="inlineStr">
        <is>
          <t>J</t>
        </is>
      </c>
      <c r="F466" s="3" t="inlineStr">
        <is>
          <t>U</t>
        </is>
      </c>
      <c r="G466" s="3">
        <f>IFERROR(IF(INDEX('HMM Actors'!$B:$B,MATCH(E466,'HMM Actors'!$A:$A,0))="","(not assigned)",INDEX('HMM Actors'!$B:$B,MATCH(E466,'HMM Actors'!$A:$A,0))),"(not assigned)")</f>
        <v/>
      </c>
      <c r="H466" s="3">
        <f>IFERROR(IF(INDEX('HMM Locations'!$B:$B,MATCH(F466,'HMM Locations'!$A:$A,0))="","(not assigned)",INDEX('HMM Locations'!$B:$B,MATCH(F466,'HMM Locations'!$A:$A,0))),"(not assigned)")</f>
        <v/>
      </c>
      <c r="I466" s="3">
        <f>IFERROR(IF(INDEX('HMM Locations'!$C:$G,MATCH(F466,'HMM Locations'!$A:$A,0),D466)="","(not assigned)",INDEX('HMM Locations'!$C:$G,MATCH(F466,'HMM Locations'!$A:$A,0),D466)),"(not assigned)")</f>
        <v/>
      </c>
      <c r="J466" s="3">
        <f>IF(COUNTIF(G466:I466,"(not assigned)")=0,"Ready","Needs grid entry")</f>
        <v/>
      </c>
      <c r="K466" s="3" t="inlineStr"/>
      <c r="L466" s="3" t="inlineStr">
        <is>
          <t>句子</t>
        </is>
      </c>
    </row>
    <row r="467" ht="15.75" customHeight="1" s="9">
      <c r="A467" s="7" t="inlineStr">
        <is>
          <t>据</t>
        </is>
      </c>
      <c r="B467" s="7" t="n">
        <v>3</v>
      </c>
      <c r="C467" s="3" t="inlineStr">
        <is>
          <t>jù</t>
        </is>
      </c>
      <c r="D467" s="3" t="n">
        <v>4</v>
      </c>
      <c r="E467" s="3" t="inlineStr">
        <is>
          <t>J</t>
        </is>
      </c>
      <c r="F467" s="3" t="inlineStr">
        <is>
          <t>U</t>
        </is>
      </c>
      <c r="G467" s="3">
        <f>IFERROR(IF(INDEX('HMM Actors'!$B:$B,MATCH(E467,'HMM Actors'!$A:$A,0))="","(not assigned)",INDEX('HMM Actors'!$B:$B,MATCH(E467,'HMM Actors'!$A:$A,0))),"(not assigned)")</f>
        <v/>
      </c>
      <c r="H467" s="3">
        <f>IFERROR(IF(INDEX('HMM Locations'!$B:$B,MATCH(F467,'HMM Locations'!$A:$A,0))="","(not assigned)",INDEX('HMM Locations'!$B:$B,MATCH(F467,'HMM Locations'!$A:$A,0))),"(not assigned)")</f>
        <v/>
      </c>
      <c r="I467" s="3">
        <f>IFERROR(IF(INDEX('HMM Locations'!$C:$G,MATCH(F467,'HMM Locations'!$A:$A,0),D467)="","(not assigned)",INDEX('HMM Locations'!$C:$G,MATCH(F467,'HMM Locations'!$A:$A,0),D467)),"(not assigned)")</f>
        <v/>
      </c>
      <c r="J467" s="3">
        <f>IF(COUNTIF(G467:I467,"(not assigned)")=0,"Ready","Needs grid entry")</f>
        <v/>
      </c>
      <c r="K467" s="3" t="inlineStr"/>
      <c r="L467" s="3" t="inlineStr">
        <is>
          <t>根据</t>
        </is>
      </c>
    </row>
    <row r="468" ht="15.75" customHeight="1" s="9">
      <c r="A468" s="7" t="inlineStr">
        <is>
          <t>决</t>
        </is>
      </c>
      <c r="B468" s="7" t="n">
        <v>3</v>
      </c>
      <c r="C468" s="3" t="inlineStr">
        <is>
          <t>jué</t>
        </is>
      </c>
      <c r="D468" s="3" t="n">
        <v>2</v>
      </c>
      <c r="E468" s="3" t="inlineStr">
        <is>
          <t>J</t>
        </is>
      </c>
      <c r="F468" s="3" t="inlineStr">
        <is>
          <t>UE</t>
        </is>
      </c>
      <c r="G468" s="3">
        <f>IFERROR(IF(INDEX('HMM Actors'!$B:$B,MATCH(E468,'HMM Actors'!$A:$A,0))="","(not assigned)",INDEX('HMM Actors'!$B:$B,MATCH(E468,'HMM Actors'!$A:$A,0))),"(not assigned)")</f>
        <v/>
      </c>
      <c r="H468" s="3">
        <f>IFERROR(IF(INDEX('HMM Locations'!$B:$B,MATCH(F468,'HMM Locations'!$A:$A,0))="","(not assigned)",INDEX('HMM Locations'!$B:$B,MATCH(F468,'HMM Locations'!$A:$A,0))),"(not assigned)")</f>
        <v/>
      </c>
      <c r="I468" s="3">
        <f>IFERROR(IF(INDEX('HMM Locations'!$C:$G,MATCH(F468,'HMM Locations'!$A:$A,0),D468)="","(not assigned)",INDEX('HMM Locations'!$C:$G,MATCH(F468,'HMM Locations'!$A:$A,0),D468)),"(not assigned)")</f>
        <v/>
      </c>
      <c r="J468" s="3">
        <f>IF(COUNTIF(G468:I468,"(not assigned)")=0,"Ready","Needs grid entry")</f>
        <v/>
      </c>
      <c r="K468" s="3" t="inlineStr"/>
      <c r="L468" s="3" t="inlineStr">
        <is>
          <t>解决、决定</t>
        </is>
      </c>
    </row>
    <row r="469" ht="15.75" customHeight="1" s="9">
      <c r="A469" s="7" t="inlineStr">
        <is>
          <t>卡</t>
        </is>
      </c>
      <c r="B469" s="7" t="n">
        <v>3</v>
      </c>
      <c r="C469" s="3" t="inlineStr">
        <is>
          <t>kǎ</t>
        </is>
      </c>
      <c r="D469" s="3" t="n">
        <v>3</v>
      </c>
      <c r="E469" s="3" t="inlineStr">
        <is>
          <t>K</t>
        </is>
      </c>
      <c r="F469" s="3" t="inlineStr">
        <is>
          <t>A</t>
        </is>
      </c>
      <c r="G469" s="3">
        <f>IFERROR(IF(INDEX('HMM Actors'!$B:$B,MATCH(E469,'HMM Actors'!$A:$A,0))="","(not assigned)",INDEX('HMM Actors'!$B:$B,MATCH(E469,'HMM Actors'!$A:$A,0))),"(not assigned)")</f>
        <v/>
      </c>
      <c r="H469" s="3">
        <f>IFERROR(IF(INDEX('HMM Locations'!$B:$B,MATCH(F469,'HMM Locations'!$A:$A,0))="","(not assigned)",INDEX('HMM Locations'!$B:$B,MATCH(F469,'HMM Locations'!$A:$A,0))),"(not assigned)")</f>
        <v/>
      </c>
      <c r="I469" s="3">
        <f>IFERROR(IF(INDEX('HMM Locations'!$C:$G,MATCH(F469,'HMM Locations'!$A:$A,0),D469)="","(not assigned)",INDEX('HMM Locations'!$C:$G,MATCH(F469,'HMM Locations'!$A:$A,0),D469)),"(not assigned)")</f>
        <v/>
      </c>
      <c r="J469" s="3">
        <f>IF(COUNTIF(G469:I469,"(not assigned)")=0,"Ready","Needs grid entry")</f>
        <v/>
      </c>
      <c r="K469" s="3" t="inlineStr"/>
      <c r="L469" s="3" t="inlineStr">
        <is>
          <t>信用卡</t>
        </is>
      </c>
    </row>
    <row r="470" ht="15.75" customHeight="1" s="9">
      <c r="A470" s="7" t="inlineStr">
        <is>
          <t>康</t>
        </is>
      </c>
      <c r="B470" s="7" t="n">
        <v>3</v>
      </c>
      <c r="C470" s="3" t="inlineStr">
        <is>
          <t>kāng</t>
        </is>
      </c>
      <c r="D470" s="3" t="n">
        <v>1</v>
      </c>
      <c r="E470" s="3" t="inlineStr">
        <is>
          <t>K</t>
        </is>
      </c>
      <c r="F470" s="3" t="inlineStr">
        <is>
          <t>ANG</t>
        </is>
      </c>
      <c r="G470" s="3">
        <f>IFERROR(IF(INDEX('HMM Actors'!$B:$B,MATCH(E470,'HMM Actors'!$A:$A,0))="","(not assigned)",INDEX('HMM Actors'!$B:$B,MATCH(E470,'HMM Actors'!$A:$A,0))),"(not assigned)")</f>
        <v/>
      </c>
      <c r="H470" s="3">
        <f>IFERROR(IF(INDEX('HMM Locations'!$B:$B,MATCH(F470,'HMM Locations'!$A:$A,0))="","(not assigned)",INDEX('HMM Locations'!$B:$B,MATCH(F470,'HMM Locations'!$A:$A,0))),"(not assigned)")</f>
        <v/>
      </c>
      <c r="I470" s="3">
        <f>IFERROR(IF(INDEX('HMM Locations'!$C:$G,MATCH(F470,'HMM Locations'!$A:$A,0),D470)="","(not assigned)",INDEX('HMM Locations'!$C:$G,MATCH(F470,'HMM Locations'!$A:$A,0),D470)),"(not assigned)")</f>
        <v/>
      </c>
      <c r="J470" s="3">
        <f>IF(COUNTIF(G470:I470,"(not assigned)")=0,"Ready","Needs grid entry")</f>
        <v/>
      </c>
      <c r="K470" s="3" t="inlineStr"/>
      <c r="L470" s="3" t="inlineStr">
        <is>
          <t>健康</t>
        </is>
      </c>
    </row>
    <row r="471" ht="15.75" customHeight="1" s="9">
      <c r="A471" s="7" t="inlineStr">
        <is>
          <t>渴</t>
        </is>
      </c>
      <c r="B471" s="7" t="n">
        <v>3</v>
      </c>
      <c r="C471" s="3" t="inlineStr">
        <is>
          <t>kě</t>
        </is>
      </c>
      <c r="D471" s="3" t="n">
        <v>3</v>
      </c>
      <c r="E471" s="3" t="inlineStr">
        <is>
          <t>K</t>
        </is>
      </c>
      <c r="F471" s="3" t="inlineStr">
        <is>
          <t>E</t>
        </is>
      </c>
      <c r="G471" s="3">
        <f>IFERROR(IF(INDEX('HMM Actors'!$B:$B,MATCH(E471,'HMM Actors'!$A:$A,0))="","(not assigned)",INDEX('HMM Actors'!$B:$B,MATCH(E471,'HMM Actors'!$A:$A,0))),"(not assigned)")</f>
        <v/>
      </c>
      <c r="H471" s="3">
        <f>IFERROR(IF(INDEX('HMM Locations'!$B:$B,MATCH(F471,'HMM Locations'!$A:$A,0))="","(not assigned)",INDEX('HMM Locations'!$B:$B,MATCH(F471,'HMM Locations'!$A:$A,0))),"(not assigned)")</f>
        <v/>
      </c>
      <c r="I471" s="3">
        <f>IFERROR(IF(INDEX('HMM Locations'!$C:$G,MATCH(F471,'HMM Locations'!$A:$A,0),D471)="","(not assigned)",INDEX('HMM Locations'!$C:$G,MATCH(F471,'HMM Locations'!$A:$A,0),D471)),"(not assigned)")</f>
        <v/>
      </c>
      <c r="J471" s="3">
        <f>IF(COUNTIF(G471:I471,"(not assigned)")=0,"Ready","Needs grid entry")</f>
        <v/>
      </c>
      <c r="K471" s="3" t="inlineStr"/>
      <c r="L471" s="3" t="inlineStr">
        <is>
          <t>渴</t>
        </is>
      </c>
    </row>
    <row r="472" ht="15.75" customHeight="1" s="9">
      <c r="A472" s="7" t="inlineStr">
        <is>
          <t>刻</t>
        </is>
      </c>
      <c r="B472" s="7" t="n">
        <v>3</v>
      </c>
      <c r="C472" s="3" t="inlineStr">
        <is>
          <t>kè</t>
        </is>
      </c>
      <c r="D472" s="3" t="n">
        <v>4</v>
      </c>
      <c r="E472" s="3" t="inlineStr">
        <is>
          <t>K</t>
        </is>
      </c>
      <c r="F472" s="3" t="inlineStr">
        <is>
          <t>E</t>
        </is>
      </c>
      <c r="G472" s="3">
        <f>IFERROR(IF(INDEX('HMM Actors'!$B:$B,MATCH(E472,'HMM Actors'!$A:$A,0))="","(not assigned)",INDEX('HMM Actors'!$B:$B,MATCH(E472,'HMM Actors'!$A:$A,0))),"(not assigned)")</f>
        <v/>
      </c>
      <c r="H472" s="3">
        <f>IFERROR(IF(INDEX('HMM Locations'!$B:$B,MATCH(F472,'HMM Locations'!$A:$A,0))="","(not assigned)",INDEX('HMM Locations'!$B:$B,MATCH(F472,'HMM Locations'!$A:$A,0))),"(not assigned)")</f>
        <v/>
      </c>
      <c r="I472" s="3">
        <f>IFERROR(IF(INDEX('HMM Locations'!$C:$G,MATCH(F472,'HMM Locations'!$A:$A,0),D472)="","(not assigned)",INDEX('HMM Locations'!$C:$G,MATCH(F472,'HMM Locations'!$A:$A,0),D472)),"(not assigned)")</f>
        <v/>
      </c>
      <c r="J472" s="3">
        <f>IF(COUNTIF(G472:I472,"(not assigned)")=0,"Ready","Needs grid entry")</f>
        <v/>
      </c>
      <c r="K472" s="3" t="inlineStr"/>
      <c r="L472" s="3" t="inlineStr">
        <is>
          <t>刻</t>
        </is>
      </c>
    </row>
    <row r="473" ht="15.75" customHeight="1" s="9">
      <c r="A473" s="7" t="inlineStr">
        <is>
          <t>空</t>
        </is>
      </c>
      <c r="B473" s="7" t="n">
        <v>3</v>
      </c>
      <c r="C473" s="3" t="inlineStr">
        <is>
          <t>kōng</t>
        </is>
      </c>
      <c r="D473" s="3" t="n">
        <v>1</v>
      </c>
      <c r="E473" s="3" t="inlineStr">
        <is>
          <t>K</t>
        </is>
      </c>
      <c r="F473" s="3" t="inlineStr">
        <is>
          <t>ONG</t>
        </is>
      </c>
      <c r="G473" s="3">
        <f>IFERROR(IF(INDEX('HMM Actors'!$B:$B,MATCH(E473,'HMM Actors'!$A:$A,0))="","(not assigned)",INDEX('HMM Actors'!$B:$B,MATCH(E473,'HMM Actors'!$A:$A,0))),"(not assigned)")</f>
        <v/>
      </c>
      <c r="H473" s="3">
        <f>IFERROR(IF(INDEX('HMM Locations'!$B:$B,MATCH(F473,'HMM Locations'!$A:$A,0))="","(not assigned)",INDEX('HMM Locations'!$B:$B,MATCH(F473,'HMM Locations'!$A:$A,0))),"(not assigned)")</f>
        <v/>
      </c>
      <c r="I473" s="3">
        <f>IFERROR(IF(INDEX('HMM Locations'!$C:$G,MATCH(F473,'HMM Locations'!$A:$A,0),D473)="","(not assigned)",INDEX('HMM Locations'!$C:$G,MATCH(F473,'HMM Locations'!$A:$A,0),D473)),"(not assigned)")</f>
        <v/>
      </c>
      <c r="J473" s="3">
        <f>IF(COUNTIF(G473:I473,"(not assigned)")=0,"Ready","Needs grid entry")</f>
        <v/>
      </c>
      <c r="K473" s="3" t="inlineStr"/>
      <c r="L473" s="3" t="inlineStr">
        <is>
          <t>空调</t>
        </is>
      </c>
    </row>
    <row r="474" ht="15.75" customHeight="1" s="9">
      <c r="A474" s="7" t="inlineStr">
        <is>
          <t>口</t>
        </is>
      </c>
      <c r="B474" s="7" t="n">
        <v>3</v>
      </c>
      <c r="C474" s="3" t="inlineStr">
        <is>
          <t>kǒu</t>
        </is>
      </c>
      <c r="D474" s="3" t="n">
        <v>3</v>
      </c>
      <c r="E474" s="3" t="inlineStr">
        <is>
          <t>K</t>
        </is>
      </c>
      <c r="F474" s="3" t="inlineStr">
        <is>
          <t>OU</t>
        </is>
      </c>
      <c r="G474" s="3">
        <f>IFERROR(IF(INDEX('HMM Actors'!$B:$B,MATCH(E474,'HMM Actors'!$A:$A,0))="","(not assigned)",INDEX('HMM Actors'!$B:$B,MATCH(E474,'HMM Actors'!$A:$A,0))),"(not assigned)")</f>
        <v/>
      </c>
      <c r="H474" s="3">
        <f>IFERROR(IF(INDEX('HMM Locations'!$B:$B,MATCH(F474,'HMM Locations'!$A:$A,0))="","(not assigned)",INDEX('HMM Locations'!$B:$B,MATCH(F474,'HMM Locations'!$A:$A,0))),"(not assigned)")</f>
        <v/>
      </c>
      <c r="I474" s="3">
        <f>IFERROR(IF(INDEX('HMM Locations'!$C:$G,MATCH(F474,'HMM Locations'!$A:$A,0),D474)="","(not assigned)",INDEX('HMM Locations'!$C:$G,MATCH(F474,'HMM Locations'!$A:$A,0),D474)),"(not assigned)")</f>
        <v/>
      </c>
      <c r="J474" s="3">
        <f>IF(COUNTIF(G474:I474,"(not assigned)")=0,"Ready","Needs grid entry")</f>
        <v/>
      </c>
      <c r="K474" s="3" t="inlineStr"/>
      <c r="L474" s="3" t="inlineStr">
        <is>
          <t>口</t>
        </is>
      </c>
    </row>
    <row r="475" ht="15.75" customHeight="1" s="9">
      <c r="A475" s="7" t="inlineStr">
        <is>
          <t>哭</t>
        </is>
      </c>
      <c r="B475" s="7" t="n">
        <v>3</v>
      </c>
      <c r="C475" s="3" t="inlineStr">
        <is>
          <t>kū</t>
        </is>
      </c>
      <c r="D475" s="3" t="n">
        <v>1</v>
      </c>
      <c r="E475" s="3" t="inlineStr">
        <is>
          <t>K</t>
        </is>
      </c>
      <c r="F475" s="3" t="inlineStr">
        <is>
          <t>U</t>
        </is>
      </c>
      <c r="G475" s="3">
        <f>IFERROR(IF(INDEX('HMM Actors'!$B:$B,MATCH(E475,'HMM Actors'!$A:$A,0))="","(not assigned)",INDEX('HMM Actors'!$B:$B,MATCH(E475,'HMM Actors'!$A:$A,0))),"(not assigned)")</f>
        <v/>
      </c>
      <c r="H475" s="3">
        <f>IFERROR(IF(INDEX('HMM Locations'!$B:$B,MATCH(F475,'HMM Locations'!$A:$A,0))="","(not assigned)",INDEX('HMM Locations'!$B:$B,MATCH(F475,'HMM Locations'!$A:$A,0))),"(not assigned)")</f>
        <v/>
      </c>
      <c r="I475" s="3">
        <f>IFERROR(IF(INDEX('HMM Locations'!$C:$G,MATCH(F475,'HMM Locations'!$A:$A,0),D475)="","(not assigned)",INDEX('HMM Locations'!$C:$G,MATCH(F475,'HMM Locations'!$A:$A,0),D475)),"(not assigned)")</f>
        <v/>
      </c>
      <c r="J475" s="3">
        <f>IF(COUNTIF(G475:I475,"(not assigned)")=0,"Ready","Needs grid entry")</f>
        <v/>
      </c>
      <c r="K475" s="3" t="inlineStr"/>
      <c r="L475" s="3" t="inlineStr">
        <is>
          <t>哭</t>
        </is>
      </c>
    </row>
    <row r="476" ht="15.75" customHeight="1" s="9">
      <c r="A476" s="7" t="inlineStr">
        <is>
          <t>裤</t>
        </is>
      </c>
      <c r="B476" s="7" t="n">
        <v>3</v>
      </c>
      <c r="C476" s="3" t="inlineStr">
        <is>
          <t>kù</t>
        </is>
      </c>
      <c r="D476" s="3" t="n">
        <v>4</v>
      </c>
      <c r="E476" s="3" t="inlineStr">
        <is>
          <t>K</t>
        </is>
      </c>
      <c r="F476" s="3" t="inlineStr">
        <is>
          <t>U</t>
        </is>
      </c>
      <c r="G476" s="3">
        <f>IFERROR(IF(INDEX('HMM Actors'!$B:$B,MATCH(E476,'HMM Actors'!$A:$A,0))="","(not assigned)",INDEX('HMM Actors'!$B:$B,MATCH(E476,'HMM Actors'!$A:$A,0))),"(not assigned)")</f>
        <v/>
      </c>
      <c r="H476" s="3">
        <f>IFERROR(IF(INDEX('HMM Locations'!$B:$B,MATCH(F476,'HMM Locations'!$A:$A,0))="","(not assigned)",INDEX('HMM Locations'!$B:$B,MATCH(F476,'HMM Locations'!$A:$A,0))),"(not assigned)")</f>
        <v/>
      </c>
      <c r="I476" s="3">
        <f>IFERROR(IF(INDEX('HMM Locations'!$C:$G,MATCH(F476,'HMM Locations'!$A:$A,0),D476)="","(not assigned)",INDEX('HMM Locations'!$C:$G,MATCH(F476,'HMM Locations'!$A:$A,0),D476)),"(not assigned)")</f>
        <v/>
      </c>
      <c r="J476" s="3">
        <f>IF(COUNTIF(G476:I476,"(not assigned)")=0,"Ready","Needs grid entry")</f>
        <v/>
      </c>
      <c r="K476" s="3" t="inlineStr"/>
      <c r="L476" s="3" t="inlineStr">
        <is>
          <t>裤子</t>
        </is>
      </c>
    </row>
    <row r="477" ht="15.75" customHeight="1" s="9">
      <c r="A477" s="7" t="inlineStr">
        <is>
          <t>筷</t>
        </is>
      </c>
      <c r="B477" s="7" t="n">
        <v>3</v>
      </c>
      <c r="C477" s="3" t="inlineStr">
        <is>
          <t>kuài</t>
        </is>
      </c>
      <c r="D477" s="3" t="n">
        <v>4</v>
      </c>
      <c r="E477" s="3" t="inlineStr">
        <is>
          <t>K</t>
        </is>
      </c>
      <c r="F477" s="3" t="inlineStr">
        <is>
          <t>UAI</t>
        </is>
      </c>
      <c r="G477" s="3">
        <f>IFERROR(IF(INDEX('HMM Actors'!$B:$B,MATCH(E477,'HMM Actors'!$A:$A,0))="","(not assigned)",INDEX('HMM Actors'!$B:$B,MATCH(E477,'HMM Actors'!$A:$A,0))),"(not assigned)")</f>
        <v/>
      </c>
      <c r="H477" s="3">
        <f>IFERROR(IF(INDEX('HMM Locations'!$B:$B,MATCH(F477,'HMM Locations'!$A:$A,0))="","(not assigned)",INDEX('HMM Locations'!$B:$B,MATCH(F477,'HMM Locations'!$A:$A,0))),"(not assigned)")</f>
        <v/>
      </c>
      <c r="I477" s="3">
        <f>IFERROR(IF(INDEX('HMM Locations'!$C:$G,MATCH(F477,'HMM Locations'!$A:$A,0),D477)="","(not assigned)",INDEX('HMM Locations'!$C:$G,MATCH(F477,'HMM Locations'!$A:$A,0),D477)),"(not assigned)")</f>
        <v/>
      </c>
      <c r="J477" s="3">
        <f>IF(COUNTIF(G477:I477,"(not assigned)")=0,"Ready","Needs grid entry")</f>
        <v/>
      </c>
      <c r="K477" s="3" t="inlineStr"/>
      <c r="L477" s="3" t="inlineStr">
        <is>
          <t>筷子</t>
        </is>
      </c>
    </row>
    <row r="478" ht="15.75" customHeight="1" s="9">
      <c r="A478" s="7" t="inlineStr">
        <is>
          <t>蓝</t>
        </is>
      </c>
      <c r="B478" s="7" t="n">
        <v>3</v>
      </c>
      <c r="C478" s="3" t="inlineStr">
        <is>
          <t>lán</t>
        </is>
      </c>
      <c r="D478" s="3" t="n">
        <v>2</v>
      </c>
      <c r="E478" s="3" t="inlineStr">
        <is>
          <t>L</t>
        </is>
      </c>
      <c r="F478" s="3" t="inlineStr">
        <is>
          <t>AN</t>
        </is>
      </c>
      <c r="G478" s="3">
        <f>IFERROR(IF(INDEX('HMM Actors'!$B:$B,MATCH(E478,'HMM Actors'!$A:$A,0))="","(not assigned)",INDEX('HMM Actors'!$B:$B,MATCH(E478,'HMM Actors'!$A:$A,0))),"(not assigned)")</f>
        <v/>
      </c>
      <c r="H478" s="3">
        <f>IFERROR(IF(INDEX('HMM Locations'!$B:$B,MATCH(F478,'HMM Locations'!$A:$A,0))="","(not assigned)",INDEX('HMM Locations'!$B:$B,MATCH(F478,'HMM Locations'!$A:$A,0))),"(not assigned)")</f>
        <v/>
      </c>
      <c r="I478" s="3">
        <f>IFERROR(IF(INDEX('HMM Locations'!$C:$G,MATCH(F478,'HMM Locations'!$A:$A,0),D478)="","(not assigned)",INDEX('HMM Locations'!$C:$G,MATCH(F478,'HMM Locations'!$A:$A,0),D478)),"(not assigned)")</f>
        <v/>
      </c>
      <c r="J478" s="3">
        <f>IF(COUNTIF(G478:I478,"(not assigned)")=0,"Ready","Needs grid entry")</f>
        <v/>
      </c>
      <c r="K478" s="3" t="inlineStr"/>
      <c r="L478" s="3" t="inlineStr">
        <is>
          <t>蓝</t>
        </is>
      </c>
    </row>
    <row r="479" ht="15.75" customHeight="1" s="9">
      <c r="A479" s="7" t="inlineStr">
        <is>
          <t>礼</t>
        </is>
      </c>
      <c r="B479" s="7" t="n">
        <v>3</v>
      </c>
      <c r="C479" s="3" t="inlineStr">
        <is>
          <t>lǐ</t>
        </is>
      </c>
      <c r="D479" s="3" t="n">
        <v>3</v>
      </c>
      <c r="E479" s="3" t="inlineStr">
        <is>
          <t>L</t>
        </is>
      </c>
      <c r="F479" s="3" t="inlineStr">
        <is>
          <t>I</t>
        </is>
      </c>
      <c r="G479" s="3">
        <f>IFERROR(IF(INDEX('HMM Actors'!$B:$B,MATCH(E479,'HMM Actors'!$A:$A,0))="","(not assigned)",INDEX('HMM Actors'!$B:$B,MATCH(E479,'HMM Actors'!$A:$A,0))),"(not assigned)")</f>
        <v/>
      </c>
      <c r="H479" s="3">
        <f>IFERROR(IF(INDEX('HMM Locations'!$B:$B,MATCH(F479,'HMM Locations'!$A:$A,0))="","(not assigned)",INDEX('HMM Locations'!$B:$B,MATCH(F479,'HMM Locations'!$A:$A,0))),"(not assigned)")</f>
        <v/>
      </c>
      <c r="I479" s="3">
        <f>IFERROR(IF(INDEX('HMM Locations'!$C:$G,MATCH(F479,'HMM Locations'!$A:$A,0),D479)="","(not assigned)",INDEX('HMM Locations'!$C:$G,MATCH(F479,'HMM Locations'!$A:$A,0),D479)),"(not assigned)")</f>
        <v/>
      </c>
      <c r="J479" s="3">
        <f>IF(COUNTIF(G479:I479,"(not assigned)")=0,"Ready","Needs grid entry")</f>
        <v/>
      </c>
      <c r="K479" s="3" t="inlineStr"/>
      <c r="L479" s="3" t="inlineStr">
        <is>
          <t>礼物</t>
        </is>
      </c>
    </row>
    <row r="480" ht="15.75" customHeight="1" s="9">
      <c r="A480" s="7" t="inlineStr">
        <is>
          <t>李</t>
        </is>
      </c>
      <c r="B480" s="7" t="n">
        <v>3</v>
      </c>
      <c r="C480" s="3" t="inlineStr">
        <is>
          <t>lǐ</t>
        </is>
      </c>
      <c r="D480" s="3" t="n">
        <v>3</v>
      </c>
      <c r="E480" s="3" t="inlineStr">
        <is>
          <t>L</t>
        </is>
      </c>
      <c r="F480" s="3" t="inlineStr">
        <is>
          <t>I</t>
        </is>
      </c>
      <c r="G480" s="3">
        <f>IFERROR(IF(INDEX('HMM Actors'!$B:$B,MATCH(E480,'HMM Actors'!$A:$A,0))="","(not assigned)",INDEX('HMM Actors'!$B:$B,MATCH(E480,'HMM Actors'!$A:$A,0))),"(not assigned)")</f>
        <v/>
      </c>
      <c r="H480" s="3">
        <f>IFERROR(IF(INDEX('HMM Locations'!$B:$B,MATCH(F480,'HMM Locations'!$A:$A,0))="","(not assigned)",INDEX('HMM Locations'!$B:$B,MATCH(F480,'HMM Locations'!$A:$A,0))),"(not assigned)")</f>
        <v/>
      </c>
      <c r="I480" s="3">
        <f>IFERROR(IF(INDEX('HMM Locations'!$C:$G,MATCH(F480,'HMM Locations'!$A:$A,0),D480)="","(not assigned)",INDEX('HMM Locations'!$C:$G,MATCH(F480,'HMM Locations'!$A:$A,0),D480)),"(not assigned)")</f>
        <v/>
      </c>
      <c r="J480" s="3">
        <f>IF(COUNTIF(G480:I480,"(not assigned)")=0,"Ready","Needs grid entry")</f>
        <v/>
      </c>
      <c r="K480" s="3" t="inlineStr"/>
      <c r="L480" s="3" t="inlineStr">
        <is>
          <t>行李箱</t>
        </is>
      </c>
    </row>
    <row r="481" ht="15.75" customHeight="1" s="9">
      <c r="A481" s="7" t="inlineStr">
        <is>
          <t>理</t>
        </is>
      </c>
      <c r="B481" s="7" t="n">
        <v>3</v>
      </c>
      <c r="C481" s="3" t="inlineStr">
        <is>
          <t>lǐ</t>
        </is>
      </c>
      <c r="D481" s="3" t="n">
        <v>3</v>
      </c>
      <c r="E481" s="3" t="inlineStr">
        <is>
          <t>L</t>
        </is>
      </c>
      <c r="F481" s="3" t="inlineStr">
        <is>
          <t>I</t>
        </is>
      </c>
      <c r="G481" s="3">
        <f>IFERROR(IF(INDEX('HMM Actors'!$B:$B,MATCH(E481,'HMM Actors'!$A:$A,0))="","(not assigned)",INDEX('HMM Actors'!$B:$B,MATCH(E481,'HMM Actors'!$A:$A,0))),"(not assigned)")</f>
        <v/>
      </c>
      <c r="H481" s="3">
        <f>IFERROR(IF(INDEX('HMM Locations'!$B:$B,MATCH(F481,'HMM Locations'!$A:$A,0))="","(not assigned)",INDEX('HMM Locations'!$B:$B,MATCH(F481,'HMM Locations'!$A:$A,0))),"(not assigned)")</f>
        <v/>
      </c>
      <c r="I481" s="3">
        <f>IFERROR(IF(INDEX('HMM Locations'!$C:$G,MATCH(F481,'HMM Locations'!$A:$A,0),D481)="","(not assigned)",INDEX('HMM Locations'!$C:$G,MATCH(F481,'HMM Locations'!$A:$A,0),D481)),"(not assigned)")</f>
        <v/>
      </c>
      <c r="J481" s="3">
        <f>IF(COUNTIF(G481:I481,"(not assigned)")=0,"Ready","Needs grid entry")</f>
        <v/>
      </c>
      <c r="K481" s="3" t="inlineStr"/>
      <c r="L481" s="3" t="inlineStr">
        <is>
          <t>经理</t>
        </is>
      </c>
    </row>
    <row r="482" ht="15.75" customHeight="1" s="9">
      <c r="A482" s="7" t="inlineStr">
        <is>
          <t>力</t>
        </is>
      </c>
      <c r="B482" s="7" t="n">
        <v>3</v>
      </c>
      <c r="C482" s="3" t="inlineStr">
        <is>
          <t>lì</t>
        </is>
      </c>
      <c r="D482" s="3" t="n">
        <v>4</v>
      </c>
      <c r="E482" s="3" t="inlineStr">
        <is>
          <t>L</t>
        </is>
      </c>
      <c r="F482" s="3" t="inlineStr">
        <is>
          <t>I</t>
        </is>
      </c>
      <c r="G482" s="3">
        <f>IFERROR(IF(INDEX('HMM Actors'!$B:$B,MATCH(E482,'HMM Actors'!$A:$A,0))="","(not assigned)",INDEX('HMM Actors'!$B:$B,MATCH(E482,'HMM Actors'!$A:$A,0))),"(not assigned)")</f>
        <v/>
      </c>
      <c r="H482" s="3">
        <f>IFERROR(IF(INDEX('HMM Locations'!$B:$B,MATCH(F482,'HMM Locations'!$A:$A,0))="","(not assigned)",INDEX('HMM Locations'!$B:$B,MATCH(F482,'HMM Locations'!$A:$A,0))),"(not assigned)")</f>
        <v/>
      </c>
      <c r="I482" s="3">
        <f>IFERROR(IF(INDEX('HMM Locations'!$C:$G,MATCH(F482,'HMM Locations'!$A:$A,0),D482)="","(not assigned)",INDEX('HMM Locations'!$C:$G,MATCH(F482,'HMM Locations'!$A:$A,0),D482)),"(not assigned)")</f>
        <v/>
      </c>
      <c r="J482" s="3">
        <f>IF(COUNTIF(G482:I482,"(not assigned)")=0,"Ready","Needs grid entry")</f>
        <v/>
      </c>
      <c r="K482" s="3" t="inlineStr"/>
      <c r="L482" s="3" t="inlineStr">
        <is>
          <t>努力</t>
        </is>
      </c>
    </row>
    <row r="483" ht="15.75" customHeight="1" s="9">
      <c r="A483" s="7" t="inlineStr">
        <is>
          <t>历</t>
        </is>
      </c>
      <c r="B483" s="7" t="n">
        <v>3</v>
      </c>
      <c r="C483" s="3" t="inlineStr">
        <is>
          <t>lì</t>
        </is>
      </c>
      <c r="D483" s="3" t="n">
        <v>4</v>
      </c>
      <c r="E483" s="3" t="inlineStr">
        <is>
          <t>L</t>
        </is>
      </c>
      <c r="F483" s="3" t="inlineStr">
        <is>
          <t>I</t>
        </is>
      </c>
      <c r="G483" s="3">
        <f>IFERROR(IF(INDEX('HMM Actors'!$B:$B,MATCH(E483,'HMM Actors'!$A:$A,0))="","(not assigned)",INDEX('HMM Actors'!$B:$B,MATCH(E483,'HMM Actors'!$A:$A,0))),"(not assigned)")</f>
        <v/>
      </c>
      <c r="H483" s="3">
        <f>IFERROR(IF(INDEX('HMM Locations'!$B:$B,MATCH(F483,'HMM Locations'!$A:$A,0))="","(not assigned)",INDEX('HMM Locations'!$B:$B,MATCH(F483,'HMM Locations'!$A:$A,0))),"(not assigned)")</f>
        <v/>
      </c>
      <c r="I483" s="3">
        <f>IFERROR(IF(INDEX('HMM Locations'!$C:$G,MATCH(F483,'HMM Locations'!$A:$A,0),D483)="","(not assigned)",INDEX('HMM Locations'!$C:$G,MATCH(F483,'HMM Locations'!$A:$A,0),D483)),"(not assigned)")</f>
        <v/>
      </c>
      <c r="J483" s="3">
        <f>IF(COUNTIF(G483:I483,"(not assigned)")=0,"Ready","Needs grid entry")</f>
        <v/>
      </c>
      <c r="K483" s="3" t="inlineStr"/>
      <c r="L483" s="3" t="inlineStr">
        <is>
          <t>历史</t>
        </is>
      </c>
    </row>
    <row r="484" ht="15.75" customHeight="1" s="9">
      <c r="A484" s="7" t="inlineStr">
        <is>
          <t>脸</t>
        </is>
      </c>
      <c r="B484" s="7" t="n">
        <v>3</v>
      </c>
      <c r="C484" s="3" t="inlineStr">
        <is>
          <t>liǎn</t>
        </is>
      </c>
      <c r="D484" s="3" t="n">
        <v>3</v>
      </c>
      <c r="E484" s="3" t="inlineStr">
        <is>
          <t>L</t>
        </is>
      </c>
      <c r="F484" s="3" t="inlineStr">
        <is>
          <t>IAN</t>
        </is>
      </c>
      <c r="G484" s="3">
        <f>IFERROR(IF(INDEX('HMM Actors'!$B:$B,MATCH(E484,'HMM Actors'!$A:$A,0))="","(not assigned)",INDEX('HMM Actors'!$B:$B,MATCH(E484,'HMM Actors'!$A:$A,0))),"(not assigned)")</f>
        <v/>
      </c>
      <c r="H484" s="3">
        <f>IFERROR(IF(INDEX('HMM Locations'!$B:$B,MATCH(F484,'HMM Locations'!$A:$A,0))="","(not assigned)",INDEX('HMM Locations'!$B:$B,MATCH(F484,'HMM Locations'!$A:$A,0))),"(not assigned)")</f>
        <v/>
      </c>
      <c r="I484" s="3">
        <f>IFERROR(IF(INDEX('HMM Locations'!$C:$G,MATCH(F484,'HMM Locations'!$A:$A,0),D484)="","(not assigned)",INDEX('HMM Locations'!$C:$G,MATCH(F484,'HMM Locations'!$A:$A,0),D484)),"(not assigned)")</f>
        <v/>
      </c>
      <c r="J484" s="3">
        <f>IF(COUNTIF(G484:I484,"(not assigned)")=0,"Ready","Needs grid entry")</f>
        <v/>
      </c>
      <c r="K484" s="3" t="inlineStr"/>
      <c r="L484" s="3" t="inlineStr">
        <is>
          <t>脸</t>
        </is>
      </c>
    </row>
    <row r="485" ht="15.75" customHeight="1" s="9">
      <c r="A485" s="7" t="inlineStr">
        <is>
          <t>练</t>
        </is>
      </c>
      <c r="B485" s="7" t="n">
        <v>3</v>
      </c>
      <c r="C485" s="3" t="inlineStr">
        <is>
          <t>liàn</t>
        </is>
      </c>
      <c r="D485" s="3" t="n">
        <v>4</v>
      </c>
      <c r="E485" s="3" t="inlineStr">
        <is>
          <t>L</t>
        </is>
      </c>
      <c r="F485" s="3" t="inlineStr">
        <is>
          <t>IAN</t>
        </is>
      </c>
      <c r="G485" s="3">
        <f>IFERROR(IF(INDEX('HMM Actors'!$B:$B,MATCH(E485,'HMM Actors'!$A:$A,0))="","(not assigned)",INDEX('HMM Actors'!$B:$B,MATCH(E485,'HMM Actors'!$A:$A,0))),"(not assigned)")</f>
        <v/>
      </c>
      <c r="H485" s="3">
        <f>IFERROR(IF(INDEX('HMM Locations'!$B:$B,MATCH(F485,'HMM Locations'!$A:$A,0))="","(not assigned)",INDEX('HMM Locations'!$B:$B,MATCH(F485,'HMM Locations'!$A:$A,0))),"(not assigned)")</f>
        <v/>
      </c>
      <c r="I485" s="3">
        <f>IFERROR(IF(INDEX('HMM Locations'!$C:$G,MATCH(F485,'HMM Locations'!$A:$A,0),D485)="","(not assigned)",INDEX('HMM Locations'!$C:$G,MATCH(F485,'HMM Locations'!$A:$A,0),D485)),"(not assigned)")</f>
        <v/>
      </c>
      <c r="J485" s="3">
        <f>IF(COUNTIF(G485:I485,"(not assigned)")=0,"Ready","Needs grid entry")</f>
        <v/>
      </c>
      <c r="K485" s="3" t="inlineStr"/>
      <c r="L485" s="3" t="inlineStr">
        <is>
          <t>练习</t>
        </is>
      </c>
    </row>
    <row r="486" ht="15.75" customHeight="1" s="9">
      <c r="A486" s="7" t="inlineStr">
        <is>
          <t>炼</t>
        </is>
      </c>
      <c r="B486" s="7" t="n">
        <v>3</v>
      </c>
      <c r="C486" s="3" t="inlineStr">
        <is>
          <t>liàn</t>
        </is>
      </c>
      <c r="D486" s="3" t="n">
        <v>4</v>
      </c>
      <c r="E486" s="3" t="inlineStr">
        <is>
          <t>L</t>
        </is>
      </c>
      <c r="F486" s="3" t="inlineStr">
        <is>
          <t>IAN</t>
        </is>
      </c>
      <c r="G486" s="3">
        <f>IFERROR(IF(INDEX('HMM Actors'!$B:$B,MATCH(E486,'HMM Actors'!$A:$A,0))="","(not assigned)",INDEX('HMM Actors'!$B:$B,MATCH(E486,'HMM Actors'!$A:$A,0))),"(not assigned)")</f>
        <v/>
      </c>
      <c r="H486" s="3">
        <f>IFERROR(IF(INDEX('HMM Locations'!$B:$B,MATCH(F486,'HMM Locations'!$A:$A,0))="","(not assigned)",INDEX('HMM Locations'!$B:$B,MATCH(F486,'HMM Locations'!$A:$A,0))),"(not assigned)")</f>
        <v/>
      </c>
      <c r="I486" s="3">
        <f>IFERROR(IF(INDEX('HMM Locations'!$C:$G,MATCH(F486,'HMM Locations'!$A:$A,0),D486)="","(not assigned)",INDEX('HMM Locations'!$C:$G,MATCH(F486,'HMM Locations'!$A:$A,0),D486)),"(not assigned)")</f>
        <v/>
      </c>
      <c r="J486" s="3">
        <f>IF(COUNTIF(G486:I486,"(not assigned)")=0,"Ready","Needs grid entry")</f>
        <v/>
      </c>
      <c r="K486" s="3" t="inlineStr"/>
      <c r="L486" s="3" t="inlineStr">
        <is>
          <t>锻炼</t>
        </is>
      </c>
    </row>
    <row r="487" ht="15.75" customHeight="1" s="9">
      <c r="A487" s="7" t="inlineStr">
        <is>
          <t>辆</t>
        </is>
      </c>
      <c r="B487" s="7" t="n">
        <v>3</v>
      </c>
      <c r="C487" s="3" t="inlineStr">
        <is>
          <t>liàng</t>
        </is>
      </c>
      <c r="D487" s="3" t="n">
        <v>4</v>
      </c>
      <c r="E487" s="3" t="inlineStr">
        <is>
          <t>L</t>
        </is>
      </c>
      <c r="F487" s="3" t="inlineStr">
        <is>
          <t>IANG</t>
        </is>
      </c>
      <c r="G487" s="3">
        <f>IFERROR(IF(INDEX('HMM Actors'!$B:$B,MATCH(E487,'HMM Actors'!$A:$A,0))="","(not assigned)",INDEX('HMM Actors'!$B:$B,MATCH(E487,'HMM Actors'!$A:$A,0))),"(not assigned)")</f>
        <v/>
      </c>
      <c r="H487" s="3">
        <f>IFERROR(IF(INDEX('HMM Locations'!$B:$B,MATCH(F487,'HMM Locations'!$A:$A,0))="","(not assigned)",INDEX('HMM Locations'!$B:$B,MATCH(F487,'HMM Locations'!$A:$A,0))),"(not assigned)")</f>
        <v/>
      </c>
      <c r="I487" s="3">
        <f>IFERROR(IF(INDEX('HMM Locations'!$C:$G,MATCH(F487,'HMM Locations'!$A:$A,0),D487)="","(not assigned)",INDEX('HMM Locations'!$C:$G,MATCH(F487,'HMM Locations'!$A:$A,0),D487)),"(not assigned)")</f>
        <v/>
      </c>
      <c r="J487" s="3">
        <f>IF(COUNTIF(G487:I487,"(not assigned)")=0,"Ready","Needs grid entry")</f>
        <v/>
      </c>
      <c r="K487" s="3" t="inlineStr"/>
      <c r="L487" s="3" t="inlineStr">
        <is>
          <t>辆</t>
        </is>
      </c>
    </row>
    <row r="488" ht="15.75" customHeight="1" s="9">
      <c r="A488" s="7" t="inlineStr">
        <is>
          <t>聊</t>
        </is>
      </c>
      <c r="B488" s="7" t="n">
        <v>3</v>
      </c>
      <c r="C488" s="3" t="inlineStr">
        <is>
          <t>liáo</t>
        </is>
      </c>
      <c r="D488" s="3" t="n">
        <v>2</v>
      </c>
      <c r="E488" s="3" t="inlineStr">
        <is>
          <t>L</t>
        </is>
      </c>
      <c r="F488" s="3" t="inlineStr">
        <is>
          <t>IAO</t>
        </is>
      </c>
      <c r="G488" s="3">
        <f>IFERROR(IF(INDEX('HMM Actors'!$B:$B,MATCH(E488,'HMM Actors'!$A:$A,0))="","(not assigned)",INDEX('HMM Actors'!$B:$B,MATCH(E488,'HMM Actors'!$A:$A,0))),"(not assigned)")</f>
        <v/>
      </c>
      <c r="H488" s="3">
        <f>IFERROR(IF(INDEX('HMM Locations'!$B:$B,MATCH(F488,'HMM Locations'!$A:$A,0))="","(not assigned)",INDEX('HMM Locations'!$B:$B,MATCH(F488,'HMM Locations'!$A:$A,0))),"(not assigned)")</f>
        <v/>
      </c>
      <c r="I488" s="3">
        <f>IFERROR(IF(INDEX('HMM Locations'!$C:$G,MATCH(F488,'HMM Locations'!$A:$A,0),D488)="","(not assigned)",INDEX('HMM Locations'!$C:$G,MATCH(F488,'HMM Locations'!$A:$A,0),D488)),"(not assigned)")</f>
        <v/>
      </c>
      <c r="J488" s="3">
        <f>IF(COUNTIF(G488:I488,"(not assigned)")=0,"Ready","Needs grid entry")</f>
        <v/>
      </c>
      <c r="K488" s="3" t="inlineStr"/>
      <c r="L488" s="3" t="inlineStr">
        <is>
          <t>聊天</t>
        </is>
      </c>
    </row>
    <row r="489" ht="15.75" customHeight="1" s="9">
      <c r="A489" s="7" t="inlineStr">
        <is>
          <t>料</t>
        </is>
      </c>
      <c r="B489" s="7" t="n">
        <v>3</v>
      </c>
      <c r="C489" s="3" t="inlineStr">
        <is>
          <t>liào</t>
        </is>
      </c>
      <c r="D489" s="3" t="n">
        <v>4</v>
      </c>
      <c r="E489" s="3" t="inlineStr">
        <is>
          <t>L</t>
        </is>
      </c>
      <c r="F489" s="3" t="inlineStr">
        <is>
          <t>IAO</t>
        </is>
      </c>
      <c r="G489" s="3">
        <f>IFERROR(IF(INDEX('HMM Actors'!$B:$B,MATCH(E489,'HMM Actors'!$A:$A,0))="","(not assigned)",INDEX('HMM Actors'!$B:$B,MATCH(E489,'HMM Actors'!$A:$A,0))),"(not assigned)")</f>
        <v/>
      </c>
      <c r="H489" s="3">
        <f>IFERROR(IF(INDEX('HMM Locations'!$B:$B,MATCH(F489,'HMM Locations'!$A:$A,0))="","(not assigned)",INDEX('HMM Locations'!$B:$B,MATCH(F489,'HMM Locations'!$A:$A,0))),"(not assigned)")</f>
        <v/>
      </c>
      <c r="I489" s="3">
        <f>IFERROR(IF(INDEX('HMM Locations'!$C:$G,MATCH(F489,'HMM Locations'!$A:$A,0),D489)="","(not assigned)",INDEX('HMM Locations'!$C:$G,MATCH(F489,'HMM Locations'!$A:$A,0),D489)),"(not assigned)")</f>
        <v/>
      </c>
      <c r="J489" s="3">
        <f>IF(COUNTIF(G489:I489,"(not assigned)")=0,"Ready","Needs grid entry")</f>
        <v/>
      </c>
      <c r="K489" s="3" t="inlineStr"/>
      <c r="L489" s="3" t="inlineStr">
        <is>
          <t>饮料</t>
        </is>
      </c>
    </row>
    <row r="490" ht="15.75" customHeight="1" s="9">
      <c r="A490" s="7" t="inlineStr">
        <is>
          <t>邻</t>
        </is>
      </c>
      <c r="B490" s="7" t="n">
        <v>3</v>
      </c>
      <c r="C490" s="3" t="inlineStr">
        <is>
          <t>lín</t>
        </is>
      </c>
      <c r="D490" s="3" t="n">
        <v>2</v>
      </c>
      <c r="E490" s="3" t="inlineStr">
        <is>
          <t>L</t>
        </is>
      </c>
      <c r="F490" s="3" t="inlineStr">
        <is>
          <t>IN</t>
        </is>
      </c>
      <c r="G490" s="3">
        <f>IFERROR(IF(INDEX('HMM Actors'!$B:$B,MATCH(E490,'HMM Actors'!$A:$A,0))="","(not assigned)",INDEX('HMM Actors'!$B:$B,MATCH(E490,'HMM Actors'!$A:$A,0))),"(not assigned)")</f>
        <v/>
      </c>
      <c r="H490" s="3">
        <f>IFERROR(IF(INDEX('HMM Locations'!$B:$B,MATCH(F490,'HMM Locations'!$A:$A,0))="","(not assigned)",INDEX('HMM Locations'!$B:$B,MATCH(F490,'HMM Locations'!$A:$A,0))),"(not assigned)")</f>
        <v/>
      </c>
      <c r="I490" s="3">
        <f>IFERROR(IF(INDEX('HMM Locations'!$C:$G,MATCH(F490,'HMM Locations'!$A:$A,0),D490)="","(not assigned)",INDEX('HMM Locations'!$C:$G,MATCH(F490,'HMM Locations'!$A:$A,0),D490)),"(not assigned)")</f>
        <v/>
      </c>
      <c r="J490" s="3">
        <f>IF(COUNTIF(G490:I490,"(not assigned)")=0,"Ready","Needs grid entry")</f>
        <v/>
      </c>
      <c r="K490" s="3" t="inlineStr"/>
      <c r="L490" s="3" t="inlineStr">
        <is>
          <t>邻居</t>
        </is>
      </c>
    </row>
    <row r="491" ht="15.75" customHeight="1" s="9">
      <c r="A491" s="7" t="inlineStr">
        <is>
          <t>留</t>
        </is>
      </c>
      <c r="B491" s="7" t="n">
        <v>3</v>
      </c>
      <c r="C491" s="3" t="inlineStr">
        <is>
          <t>liú</t>
        </is>
      </c>
      <c r="D491" s="3" t="n">
        <v>2</v>
      </c>
      <c r="E491" s="3" t="inlineStr">
        <is>
          <t>L</t>
        </is>
      </c>
      <c r="F491" s="3" t="inlineStr">
        <is>
          <t>IU</t>
        </is>
      </c>
      <c r="G491" s="3">
        <f>IFERROR(IF(INDEX('HMM Actors'!$B:$B,MATCH(E491,'HMM Actors'!$A:$A,0))="","(not assigned)",INDEX('HMM Actors'!$B:$B,MATCH(E491,'HMM Actors'!$A:$A,0))),"(not assigned)")</f>
        <v/>
      </c>
      <c r="H491" s="3">
        <f>IFERROR(IF(INDEX('HMM Locations'!$B:$B,MATCH(F491,'HMM Locations'!$A:$A,0))="","(not assigned)",INDEX('HMM Locations'!$B:$B,MATCH(F491,'HMM Locations'!$A:$A,0))),"(not assigned)")</f>
        <v/>
      </c>
      <c r="I491" s="3">
        <f>IFERROR(IF(INDEX('HMM Locations'!$C:$G,MATCH(F491,'HMM Locations'!$A:$A,0),D491)="","(not assigned)",INDEX('HMM Locations'!$C:$G,MATCH(F491,'HMM Locations'!$A:$A,0),D491)),"(not assigned)")</f>
        <v/>
      </c>
      <c r="J491" s="3">
        <f>IF(COUNTIF(G491:I491,"(not assigned)")=0,"Ready","Needs grid entry")</f>
        <v/>
      </c>
      <c r="K491" s="3" t="inlineStr"/>
      <c r="L491" s="3" t="inlineStr">
        <is>
          <t>留学</t>
        </is>
      </c>
    </row>
    <row r="492" ht="15.75" customHeight="1" s="9">
      <c r="A492" s="7" t="inlineStr">
        <is>
          <t>楼</t>
        </is>
      </c>
      <c r="B492" s="7" t="n">
        <v>3</v>
      </c>
      <c r="C492" s="3" t="inlineStr">
        <is>
          <t>lóu</t>
        </is>
      </c>
      <c r="D492" s="3" t="n">
        <v>2</v>
      </c>
      <c r="E492" s="3" t="inlineStr">
        <is>
          <t>L</t>
        </is>
      </c>
      <c r="F492" s="3" t="inlineStr">
        <is>
          <t>OU</t>
        </is>
      </c>
      <c r="G492" s="3">
        <f>IFERROR(IF(INDEX('HMM Actors'!$B:$B,MATCH(E492,'HMM Actors'!$A:$A,0))="","(not assigned)",INDEX('HMM Actors'!$B:$B,MATCH(E492,'HMM Actors'!$A:$A,0))),"(not assigned)")</f>
        <v/>
      </c>
      <c r="H492" s="3">
        <f>IFERROR(IF(INDEX('HMM Locations'!$B:$B,MATCH(F492,'HMM Locations'!$A:$A,0))="","(not assigned)",INDEX('HMM Locations'!$B:$B,MATCH(F492,'HMM Locations'!$A:$A,0))),"(not assigned)")</f>
        <v/>
      </c>
      <c r="I492" s="3">
        <f>IFERROR(IF(INDEX('HMM Locations'!$C:$G,MATCH(F492,'HMM Locations'!$A:$A,0),D492)="","(not assigned)",INDEX('HMM Locations'!$C:$G,MATCH(F492,'HMM Locations'!$A:$A,0),D492)),"(not assigned)")</f>
        <v/>
      </c>
      <c r="J492" s="3">
        <f>IF(COUNTIF(G492:I492,"(not assigned)")=0,"Ready","Needs grid entry")</f>
        <v/>
      </c>
      <c r="K492" s="3" t="inlineStr"/>
      <c r="L492" s="3" t="inlineStr">
        <is>
          <t>楼</t>
        </is>
      </c>
    </row>
    <row r="493" ht="15.75" customHeight="1" s="9">
      <c r="A493" s="7" t="inlineStr">
        <is>
          <t>绿</t>
        </is>
      </c>
      <c r="B493" s="7" t="n">
        <v>3</v>
      </c>
      <c r="C493" s="3" t="inlineStr">
        <is>
          <t>lǜ</t>
        </is>
      </c>
      <c r="D493" s="3" t="n">
        <v>4</v>
      </c>
      <c r="E493" s="3" t="inlineStr">
        <is>
          <t>L</t>
        </is>
      </c>
      <c r="F493" s="3" t="inlineStr">
        <is>
          <t>Ü</t>
        </is>
      </c>
      <c r="G493" s="3">
        <f>IFERROR(IF(INDEX('HMM Actors'!$B:$B,MATCH(E493,'HMM Actors'!$A:$A,0))="","(not assigned)",INDEX('HMM Actors'!$B:$B,MATCH(E493,'HMM Actors'!$A:$A,0))),"(not assigned)")</f>
        <v/>
      </c>
      <c r="H493" s="3">
        <f>IFERROR(IF(INDEX('HMM Locations'!$B:$B,MATCH(F493,'HMM Locations'!$A:$A,0))="","(not assigned)",INDEX('HMM Locations'!$B:$B,MATCH(F493,'HMM Locations'!$A:$A,0))),"(not assigned)")</f>
        <v/>
      </c>
      <c r="I493" s="3">
        <f>IFERROR(IF(INDEX('HMM Locations'!$C:$G,MATCH(F493,'HMM Locations'!$A:$A,0),D493)="","(not assigned)",INDEX('HMM Locations'!$C:$G,MATCH(F493,'HMM Locations'!$A:$A,0),D493)),"(not assigned)")</f>
        <v/>
      </c>
      <c r="J493" s="3">
        <f>IF(COUNTIF(G493:I493,"(not assigned)")=0,"Ready","Needs grid entry")</f>
        <v/>
      </c>
      <c r="K493" s="3" t="inlineStr"/>
      <c r="L493" s="3" t="inlineStr">
        <is>
          <t>绿</t>
        </is>
      </c>
    </row>
    <row r="494" ht="15.75" customHeight="1" s="9">
      <c r="A494" s="7" t="inlineStr">
        <is>
          <t>马</t>
        </is>
      </c>
      <c r="B494" s="7" t="n">
        <v>3</v>
      </c>
      <c r="C494" s="3" t="inlineStr">
        <is>
          <t>mǎ</t>
        </is>
      </c>
      <c r="D494" s="3" t="n">
        <v>3</v>
      </c>
      <c r="E494" s="3" t="inlineStr">
        <is>
          <t>M</t>
        </is>
      </c>
      <c r="F494" s="3" t="inlineStr">
        <is>
          <t>A</t>
        </is>
      </c>
      <c r="G494" s="3">
        <f>IFERROR(IF(INDEX('HMM Actors'!$B:$B,MATCH(E494,'HMM Actors'!$A:$A,0))="","(not assigned)",INDEX('HMM Actors'!$B:$B,MATCH(E494,'HMM Actors'!$A:$A,0))),"(not assigned)")</f>
        <v/>
      </c>
      <c r="H494" s="3">
        <f>IFERROR(IF(INDEX('HMM Locations'!$B:$B,MATCH(F494,'HMM Locations'!$A:$A,0))="","(not assigned)",INDEX('HMM Locations'!$B:$B,MATCH(F494,'HMM Locations'!$A:$A,0))),"(not assigned)")</f>
        <v/>
      </c>
      <c r="I494" s="3">
        <f>IFERROR(IF(INDEX('HMM Locations'!$C:$G,MATCH(F494,'HMM Locations'!$A:$A,0),D494)="","(not assigned)",INDEX('HMM Locations'!$C:$G,MATCH(F494,'HMM Locations'!$A:$A,0),D494)),"(not assigned)")</f>
        <v/>
      </c>
      <c r="J494" s="3">
        <f>IF(COUNTIF(G494:I494,"(not assigned)")=0,"Ready","Needs grid entry")</f>
        <v/>
      </c>
      <c r="K494" s="3" t="inlineStr"/>
      <c r="L494" s="3" t="inlineStr">
        <is>
          <t>马、马上</t>
        </is>
      </c>
    </row>
    <row r="495" ht="15.75" customHeight="1" s="9">
      <c r="A495" s="7" t="inlineStr">
        <is>
          <t>满</t>
        </is>
      </c>
      <c r="B495" s="7" t="n">
        <v>3</v>
      </c>
      <c r="C495" s="3" t="inlineStr">
        <is>
          <t>mǎn</t>
        </is>
      </c>
      <c r="D495" s="3" t="n">
        <v>3</v>
      </c>
      <c r="E495" s="3" t="inlineStr">
        <is>
          <t>M</t>
        </is>
      </c>
      <c r="F495" s="3" t="inlineStr">
        <is>
          <t>AN</t>
        </is>
      </c>
      <c r="G495" s="3">
        <f>IFERROR(IF(INDEX('HMM Actors'!$B:$B,MATCH(E495,'HMM Actors'!$A:$A,0))="","(not assigned)",INDEX('HMM Actors'!$B:$B,MATCH(E495,'HMM Actors'!$A:$A,0))),"(not assigned)")</f>
        <v/>
      </c>
      <c r="H495" s="3">
        <f>IFERROR(IF(INDEX('HMM Locations'!$B:$B,MATCH(F495,'HMM Locations'!$A:$A,0))="","(not assigned)",INDEX('HMM Locations'!$B:$B,MATCH(F495,'HMM Locations'!$A:$A,0))),"(not assigned)")</f>
        <v/>
      </c>
      <c r="I495" s="3">
        <f>IFERROR(IF(INDEX('HMM Locations'!$C:$G,MATCH(F495,'HMM Locations'!$A:$A,0),D495)="","(not assigned)",INDEX('HMM Locations'!$C:$G,MATCH(F495,'HMM Locations'!$A:$A,0),D495)),"(not assigned)")</f>
        <v/>
      </c>
      <c r="J495" s="3">
        <f>IF(COUNTIF(G495:I495,"(not assigned)")=0,"Ready","Needs grid entry")</f>
        <v/>
      </c>
      <c r="K495" s="3" t="inlineStr"/>
      <c r="L495" s="3" t="inlineStr">
        <is>
          <t>满意</t>
        </is>
      </c>
    </row>
    <row r="496" ht="15.75" customHeight="1" s="9">
      <c r="A496" s="7" t="inlineStr">
        <is>
          <t>冒</t>
        </is>
      </c>
      <c r="B496" s="7" t="n">
        <v>3</v>
      </c>
      <c r="C496" s="3" t="inlineStr">
        <is>
          <t>mào</t>
        </is>
      </c>
      <c r="D496" s="3" t="n">
        <v>4</v>
      </c>
      <c r="E496" s="3" t="inlineStr">
        <is>
          <t>M</t>
        </is>
      </c>
      <c r="F496" s="3" t="inlineStr">
        <is>
          <t>AO</t>
        </is>
      </c>
      <c r="G496" s="3">
        <f>IFERROR(IF(INDEX('HMM Actors'!$B:$B,MATCH(E496,'HMM Actors'!$A:$A,0))="","(not assigned)",INDEX('HMM Actors'!$B:$B,MATCH(E496,'HMM Actors'!$A:$A,0))),"(not assigned)")</f>
        <v/>
      </c>
      <c r="H496" s="3">
        <f>IFERROR(IF(INDEX('HMM Locations'!$B:$B,MATCH(F496,'HMM Locations'!$A:$A,0))="","(not assigned)",INDEX('HMM Locations'!$B:$B,MATCH(F496,'HMM Locations'!$A:$A,0))),"(not assigned)")</f>
        <v/>
      </c>
      <c r="I496" s="3">
        <f>IFERROR(IF(INDEX('HMM Locations'!$C:$G,MATCH(F496,'HMM Locations'!$A:$A,0),D496)="","(not assigned)",INDEX('HMM Locations'!$C:$G,MATCH(F496,'HMM Locations'!$A:$A,0),D496)),"(not assigned)")</f>
        <v/>
      </c>
      <c r="J496" s="3">
        <f>IF(COUNTIF(G496:I496,"(not assigned)")=0,"Ready","Needs grid entry")</f>
        <v/>
      </c>
      <c r="K496" s="3" t="inlineStr"/>
      <c r="L496" s="3" t="inlineStr">
        <is>
          <t>感冒</t>
        </is>
      </c>
    </row>
    <row r="497" ht="15.75" customHeight="1" s="9">
      <c r="A497" s="7" t="inlineStr">
        <is>
          <t>帽</t>
        </is>
      </c>
      <c r="B497" s="7" t="n">
        <v>3</v>
      </c>
      <c r="C497" s="3" t="inlineStr">
        <is>
          <t>mào</t>
        </is>
      </c>
      <c r="D497" s="3" t="n">
        <v>4</v>
      </c>
      <c r="E497" s="3" t="inlineStr">
        <is>
          <t>M</t>
        </is>
      </c>
      <c r="F497" s="3" t="inlineStr">
        <is>
          <t>AO</t>
        </is>
      </c>
      <c r="G497" s="3">
        <f>IFERROR(IF(INDEX('HMM Actors'!$B:$B,MATCH(E497,'HMM Actors'!$A:$A,0))="","(not assigned)",INDEX('HMM Actors'!$B:$B,MATCH(E497,'HMM Actors'!$A:$A,0))),"(not assigned)")</f>
        <v/>
      </c>
      <c r="H497" s="3">
        <f>IFERROR(IF(INDEX('HMM Locations'!$B:$B,MATCH(F497,'HMM Locations'!$A:$A,0))="","(not assigned)",INDEX('HMM Locations'!$B:$B,MATCH(F497,'HMM Locations'!$A:$A,0))),"(not assigned)")</f>
        <v/>
      </c>
      <c r="I497" s="3">
        <f>IFERROR(IF(INDEX('HMM Locations'!$C:$G,MATCH(F497,'HMM Locations'!$A:$A,0),D497)="","(not assigned)",INDEX('HMM Locations'!$C:$G,MATCH(F497,'HMM Locations'!$A:$A,0),D497)),"(not assigned)")</f>
        <v/>
      </c>
      <c r="J497" s="3">
        <f>IF(COUNTIF(G497:I497,"(not assigned)")=0,"Ready","Needs grid entry")</f>
        <v/>
      </c>
      <c r="K497" s="3" t="inlineStr"/>
      <c r="L497" s="3" t="inlineStr">
        <is>
          <t>帽子</t>
        </is>
      </c>
    </row>
    <row r="498" ht="15.75" customHeight="1" s="9">
      <c r="A498" s="7" t="inlineStr">
        <is>
          <t>末</t>
        </is>
      </c>
      <c r="B498" s="7" t="n">
        <v>3</v>
      </c>
      <c r="C498" s="3" t="inlineStr">
        <is>
          <t>mò</t>
        </is>
      </c>
      <c r="D498" s="3" t="n">
        <v>4</v>
      </c>
      <c r="E498" s="3" t="inlineStr">
        <is>
          <t>M</t>
        </is>
      </c>
      <c r="F498" s="3" t="inlineStr">
        <is>
          <t>O</t>
        </is>
      </c>
      <c r="G498" s="3">
        <f>IFERROR(IF(INDEX('HMM Actors'!$B:$B,MATCH(E498,'HMM Actors'!$A:$A,0))="","(not assigned)",INDEX('HMM Actors'!$B:$B,MATCH(E498,'HMM Actors'!$A:$A,0))),"(not assigned)")</f>
        <v/>
      </c>
      <c r="H498" s="3">
        <f>IFERROR(IF(INDEX('HMM Locations'!$B:$B,MATCH(F498,'HMM Locations'!$A:$A,0))="","(not assigned)",INDEX('HMM Locations'!$B:$B,MATCH(F498,'HMM Locations'!$A:$A,0))),"(not assigned)")</f>
        <v/>
      </c>
      <c r="I498" s="3">
        <f>IFERROR(IF(INDEX('HMM Locations'!$C:$G,MATCH(F498,'HMM Locations'!$A:$A,0),D498)="","(not assigned)",INDEX('HMM Locations'!$C:$G,MATCH(F498,'HMM Locations'!$A:$A,0),D498)),"(not assigned)")</f>
        <v/>
      </c>
      <c r="J498" s="3">
        <f>IF(COUNTIF(G498:I498,"(not assigned)")=0,"Ready","Needs grid entry")</f>
        <v/>
      </c>
      <c r="K498" s="3" t="inlineStr"/>
      <c r="L498" s="3" t="inlineStr">
        <is>
          <t>周末</t>
        </is>
      </c>
    </row>
    <row r="499" ht="15.75" customHeight="1" s="9">
      <c r="A499" s="7" t="inlineStr">
        <is>
          <t>目</t>
        </is>
      </c>
      <c r="B499" s="7" t="n">
        <v>3</v>
      </c>
      <c r="C499" s="3" t="inlineStr">
        <is>
          <t>mù</t>
        </is>
      </c>
      <c r="D499" s="3" t="n">
        <v>4</v>
      </c>
      <c r="E499" s="3" t="inlineStr">
        <is>
          <t>M</t>
        </is>
      </c>
      <c r="F499" s="3" t="inlineStr">
        <is>
          <t>U</t>
        </is>
      </c>
      <c r="G499" s="3">
        <f>IFERROR(IF(INDEX('HMM Actors'!$B:$B,MATCH(E499,'HMM Actors'!$A:$A,0))="","(not assigned)",INDEX('HMM Actors'!$B:$B,MATCH(E499,'HMM Actors'!$A:$A,0))),"(not assigned)")</f>
        <v/>
      </c>
      <c r="H499" s="3">
        <f>IFERROR(IF(INDEX('HMM Locations'!$B:$B,MATCH(F499,'HMM Locations'!$A:$A,0))="","(not assigned)",INDEX('HMM Locations'!$B:$B,MATCH(F499,'HMM Locations'!$A:$A,0))),"(not assigned)")</f>
        <v/>
      </c>
      <c r="I499" s="3">
        <f>IFERROR(IF(INDEX('HMM Locations'!$C:$G,MATCH(F499,'HMM Locations'!$A:$A,0),D499)="","(not assigned)",INDEX('HMM Locations'!$C:$G,MATCH(F499,'HMM Locations'!$A:$A,0),D499)),"(not assigned)")</f>
        <v/>
      </c>
      <c r="J499" s="3">
        <f>IF(COUNTIF(G499:I499,"(not assigned)")=0,"Ready","Needs grid entry")</f>
        <v/>
      </c>
      <c r="K499" s="3" t="inlineStr"/>
      <c r="L499" s="3" t="inlineStr">
        <is>
          <t>节目</t>
        </is>
      </c>
    </row>
    <row r="500" ht="15.75" customHeight="1" s="9">
      <c r="A500" s="7" t="inlineStr">
        <is>
          <t>拿</t>
        </is>
      </c>
      <c r="B500" s="7" t="n">
        <v>3</v>
      </c>
      <c r="C500" s="3" t="inlineStr">
        <is>
          <t>ná</t>
        </is>
      </c>
      <c r="D500" s="3" t="n">
        <v>2</v>
      </c>
      <c r="E500" s="3" t="inlineStr">
        <is>
          <t>N</t>
        </is>
      </c>
      <c r="F500" s="3" t="inlineStr">
        <is>
          <t>A</t>
        </is>
      </c>
      <c r="G500" s="3">
        <f>IFERROR(IF(INDEX('HMM Actors'!$B:$B,MATCH(E500,'HMM Actors'!$A:$A,0))="","(not assigned)",INDEX('HMM Actors'!$B:$B,MATCH(E500,'HMM Actors'!$A:$A,0))),"(not assigned)")</f>
        <v/>
      </c>
      <c r="H500" s="3">
        <f>IFERROR(IF(INDEX('HMM Locations'!$B:$B,MATCH(F500,'HMM Locations'!$A:$A,0))="","(not assigned)",INDEX('HMM Locations'!$B:$B,MATCH(F500,'HMM Locations'!$A:$A,0))),"(not assigned)")</f>
        <v/>
      </c>
      <c r="I500" s="3">
        <f>IFERROR(IF(INDEX('HMM Locations'!$C:$G,MATCH(F500,'HMM Locations'!$A:$A,0),D500)="","(not assigned)",INDEX('HMM Locations'!$C:$G,MATCH(F500,'HMM Locations'!$A:$A,0),D500)),"(not assigned)")</f>
        <v/>
      </c>
      <c r="J500" s="3">
        <f>IF(COUNTIF(G500:I500,"(not assigned)")=0,"Ready","Needs grid entry")</f>
        <v/>
      </c>
      <c r="K500" s="3" t="inlineStr"/>
      <c r="L500" s="3" t="inlineStr">
        <is>
          <t>拿</t>
        </is>
      </c>
    </row>
    <row r="501" ht="15.75" customHeight="1" s="9">
      <c r="A501" s="7" t="inlineStr">
        <is>
          <t>南</t>
        </is>
      </c>
      <c r="B501" s="7" t="n">
        <v>3</v>
      </c>
      <c r="C501" s="3" t="inlineStr">
        <is>
          <t>nán</t>
        </is>
      </c>
      <c r="D501" s="3" t="n">
        <v>2</v>
      </c>
      <c r="E501" s="3" t="inlineStr">
        <is>
          <t>N</t>
        </is>
      </c>
      <c r="F501" s="3" t="inlineStr">
        <is>
          <t>AN</t>
        </is>
      </c>
      <c r="G501" s="3">
        <f>IFERROR(IF(INDEX('HMM Actors'!$B:$B,MATCH(E501,'HMM Actors'!$A:$A,0))="","(not assigned)",INDEX('HMM Actors'!$B:$B,MATCH(E501,'HMM Actors'!$A:$A,0))),"(not assigned)")</f>
        <v/>
      </c>
      <c r="H501" s="3">
        <f>IFERROR(IF(INDEX('HMM Locations'!$B:$B,MATCH(F501,'HMM Locations'!$A:$A,0))="","(not assigned)",INDEX('HMM Locations'!$B:$B,MATCH(F501,'HMM Locations'!$A:$A,0))),"(not assigned)")</f>
        <v/>
      </c>
      <c r="I501" s="3">
        <f>IFERROR(IF(INDEX('HMM Locations'!$C:$G,MATCH(F501,'HMM Locations'!$A:$A,0),D501)="","(not assigned)",INDEX('HMM Locations'!$C:$G,MATCH(F501,'HMM Locations'!$A:$A,0),D501)),"(not assigned)")</f>
        <v/>
      </c>
      <c r="J501" s="3">
        <f>IF(COUNTIF(G501:I501,"(not assigned)")=0,"Ready","Needs grid entry")</f>
        <v/>
      </c>
      <c r="K501" s="3" t="inlineStr"/>
      <c r="L501" s="3" t="inlineStr">
        <is>
          <t>南</t>
        </is>
      </c>
    </row>
    <row r="502" ht="15.75" customHeight="1" s="9">
      <c r="A502" s="7" t="inlineStr">
        <is>
          <t>难</t>
        </is>
      </c>
      <c r="B502" s="7" t="n">
        <v>3</v>
      </c>
      <c r="C502" s="3" t="inlineStr">
        <is>
          <t>nán</t>
        </is>
      </c>
      <c r="D502" s="3" t="n">
        <v>2</v>
      </c>
      <c r="E502" s="3" t="inlineStr">
        <is>
          <t>N</t>
        </is>
      </c>
      <c r="F502" s="3" t="inlineStr">
        <is>
          <t>AN</t>
        </is>
      </c>
      <c r="G502" s="3">
        <f>IFERROR(IF(INDEX('HMM Actors'!$B:$B,MATCH(E502,'HMM Actors'!$A:$A,0))="","(not assigned)",INDEX('HMM Actors'!$B:$B,MATCH(E502,'HMM Actors'!$A:$A,0))),"(not assigned)")</f>
        <v/>
      </c>
      <c r="H502" s="3">
        <f>IFERROR(IF(INDEX('HMM Locations'!$B:$B,MATCH(F502,'HMM Locations'!$A:$A,0))="","(not assigned)",INDEX('HMM Locations'!$B:$B,MATCH(F502,'HMM Locations'!$A:$A,0))),"(not assigned)")</f>
        <v/>
      </c>
      <c r="I502" s="3">
        <f>IFERROR(IF(INDEX('HMM Locations'!$C:$G,MATCH(F502,'HMM Locations'!$A:$A,0),D502)="","(not assigned)",INDEX('HMM Locations'!$C:$G,MATCH(F502,'HMM Locations'!$A:$A,0),D502)),"(not assigned)")</f>
        <v/>
      </c>
      <c r="J502" s="3">
        <f>IF(COUNTIF(G502:I502,"(not assigned)")=0,"Ready","Needs grid entry")</f>
        <v/>
      </c>
      <c r="K502" s="3" t="inlineStr"/>
      <c r="L502" s="3" t="inlineStr">
        <is>
          <t>难、难过</t>
        </is>
      </c>
    </row>
    <row r="503" ht="15.75" customHeight="1" s="9">
      <c r="A503" s="7" t="inlineStr">
        <is>
          <t>鸟</t>
        </is>
      </c>
      <c r="B503" s="7" t="n">
        <v>3</v>
      </c>
      <c r="C503" s="3" t="inlineStr">
        <is>
          <t>niǎo</t>
        </is>
      </c>
      <c r="D503" s="3" t="n">
        <v>3</v>
      </c>
      <c r="E503" s="3" t="inlineStr">
        <is>
          <t>N</t>
        </is>
      </c>
      <c r="F503" s="3" t="inlineStr">
        <is>
          <t>IAO</t>
        </is>
      </c>
      <c r="G503" s="3">
        <f>IFERROR(IF(INDEX('HMM Actors'!$B:$B,MATCH(E503,'HMM Actors'!$A:$A,0))="","(not assigned)",INDEX('HMM Actors'!$B:$B,MATCH(E503,'HMM Actors'!$A:$A,0))),"(not assigned)")</f>
        <v/>
      </c>
      <c r="H503" s="3">
        <f>IFERROR(IF(INDEX('HMM Locations'!$B:$B,MATCH(F503,'HMM Locations'!$A:$A,0))="","(not assigned)",INDEX('HMM Locations'!$B:$B,MATCH(F503,'HMM Locations'!$A:$A,0))),"(not assigned)")</f>
        <v/>
      </c>
      <c r="I503" s="3">
        <f>IFERROR(IF(INDEX('HMM Locations'!$C:$G,MATCH(F503,'HMM Locations'!$A:$A,0),D503)="","(not assigned)",INDEX('HMM Locations'!$C:$G,MATCH(F503,'HMM Locations'!$A:$A,0),D503)),"(not assigned)")</f>
        <v/>
      </c>
      <c r="J503" s="3">
        <f>IF(COUNTIF(G503:I503,"(not assigned)")=0,"Ready","Needs grid entry")</f>
        <v/>
      </c>
      <c r="K503" s="3" t="inlineStr"/>
      <c r="L503" s="3" t="inlineStr">
        <is>
          <t>鸟</t>
        </is>
      </c>
    </row>
    <row r="504" ht="15.75" customHeight="1" s="9">
      <c r="A504" s="7" t="inlineStr">
        <is>
          <t>努</t>
        </is>
      </c>
      <c r="B504" s="7" t="n">
        <v>3</v>
      </c>
      <c r="C504" s="3" t="inlineStr">
        <is>
          <t>nǔ</t>
        </is>
      </c>
      <c r="D504" s="3" t="n">
        <v>3</v>
      </c>
      <c r="E504" s="3" t="inlineStr">
        <is>
          <t>N</t>
        </is>
      </c>
      <c r="F504" s="3" t="inlineStr">
        <is>
          <t>U</t>
        </is>
      </c>
      <c r="G504" s="3">
        <f>IFERROR(IF(INDEX('HMM Actors'!$B:$B,MATCH(E504,'HMM Actors'!$A:$A,0))="","(not assigned)",INDEX('HMM Actors'!$B:$B,MATCH(E504,'HMM Actors'!$A:$A,0))),"(not assigned)")</f>
        <v/>
      </c>
      <c r="H504" s="3">
        <f>IFERROR(IF(INDEX('HMM Locations'!$B:$B,MATCH(F504,'HMM Locations'!$A:$A,0))="","(not assigned)",INDEX('HMM Locations'!$B:$B,MATCH(F504,'HMM Locations'!$A:$A,0))),"(not assigned)")</f>
        <v/>
      </c>
      <c r="I504" s="3">
        <f>IFERROR(IF(INDEX('HMM Locations'!$C:$G,MATCH(F504,'HMM Locations'!$A:$A,0),D504)="","(not assigned)",INDEX('HMM Locations'!$C:$G,MATCH(F504,'HMM Locations'!$A:$A,0),D504)),"(not assigned)")</f>
        <v/>
      </c>
      <c r="J504" s="3">
        <f>IF(COUNTIF(G504:I504,"(not assigned)")=0,"Ready","Needs grid entry")</f>
        <v/>
      </c>
      <c r="K504" s="3" t="inlineStr"/>
      <c r="L504" s="3" t="inlineStr">
        <is>
          <t>努力</t>
        </is>
      </c>
    </row>
    <row r="505" ht="15.75" customHeight="1" s="9">
      <c r="A505" s="7" t="inlineStr">
        <is>
          <t>爬</t>
        </is>
      </c>
      <c r="B505" s="7" t="n">
        <v>3</v>
      </c>
      <c r="C505" s="3" t="inlineStr">
        <is>
          <t>pá</t>
        </is>
      </c>
      <c r="D505" s="3" t="n">
        <v>2</v>
      </c>
      <c r="E505" s="3" t="inlineStr">
        <is>
          <t>P</t>
        </is>
      </c>
      <c r="F505" s="3" t="inlineStr">
        <is>
          <t>A</t>
        </is>
      </c>
      <c r="G505" s="3">
        <f>IFERROR(IF(INDEX('HMM Actors'!$B:$B,MATCH(E505,'HMM Actors'!$A:$A,0))="","(not assigned)",INDEX('HMM Actors'!$B:$B,MATCH(E505,'HMM Actors'!$A:$A,0))),"(not assigned)")</f>
        <v/>
      </c>
      <c r="H505" s="3">
        <f>IFERROR(IF(INDEX('HMM Locations'!$B:$B,MATCH(F505,'HMM Locations'!$A:$A,0))="","(not assigned)",INDEX('HMM Locations'!$B:$B,MATCH(F505,'HMM Locations'!$A:$A,0))),"(not assigned)")</f>
        <v/>
      </c>
      <c r="I505" s="3">
        <f>IFERROR(IF(INDEX('HMM Locations'!$C:$G,MATCH(F505,'HMM Locations'!$A:$A,0),D505)="","(not assigned)",INDEX('HMM Locations'!$C:$G,MATCH(F505,'HMM Locations'!$A:$A,0),D505)),"(not assigned)")</f>
        <v/>
      </c>
      <c r="J505" s="3">
        <f>IF(COUNTIF(G505:I505,"(not assigned)")=0,"Ready","Needs grid entry")</f>
        <v/>
      </c>
      <c r="K505" s="3" t="inlineStr"/>
      <c r="L505" s="3" t="inlineStr">
        <is>
          <t>爬山</t>
        </is>
      </c>
    </row>
    <row r="506" ht="15.75" customHeight="1" s="9">
      <c r="A506" s="7" t="inlineStr">
        <is>
          <t>怕</t>
        </is>
      </c>
      <c r="B506" s="7" t="n">
        <v>3</v>
      </c>
      <c r="C506" s="3" t="inlineStr">
        <is>
          <t>pà</t>
        </is>
      </c>
      <c r="D506" s="3" t="n">
        <v>4</v>
      </c>
      <c r="E506" s="3" t="inlineStr">
        <is>
          <t>P</t>
        </is>
      </c>
      <c r="F506" s="3" t="inlineStr">
        <is>
          <t>A</t>
        </is>
      </c>
      <c r="G506" s="3">
        <f>IFERROR(IF(INDEX('HMM Actors'!$B:$B,MATCH(E506,'HMM Actors'!$A:$A,0))="","(not assigned)",INDEX('HMM Actors'!$B:$B,MATCH(E506,'HMM Actors'!$A:$A,0))),"(not assigned)")</f>
        <v/>
      </c>
      <c r="H506" s="3">
        <f>IFERROR(IF(INDEX('HMM Locations'!$B:$B,MATCH(F506,'HMM Locations'!$A:$A,0))="","(not assigned)",INDEX('HMM Locations'!$B:$B,MATCH(F506,'HMM Locations'!$A:$A,0))),"(not assigned)")</f>
        <v/>
      </c>
      <c r="I506" s="3">
        <f>IFERROR(IF(INDEX('HMM Locations'!$C:$G,MATCH(F506,'HMM Locations'!$A:$A,0),D506)="","(not assigned)",INDEX('HMM Locations'!$C:$G,MATCH(F506,'HMM Locations'!$A:$A,0),D506)),"(not assigned)")</f>
        <v/>
      </c>
      <c r="J506" s="3">
        <f>IF(COUNTIF(G506:I506,"(not assigned)")=0,"Ready","Needs grid entry")</f>
        <v/>
      </c>
      <c r="K506" s="3" t="inlineStr"/>
      <c r="L506" s="3" t="inlineStr">
        <is>
          <t>害怕</t>
        </is>
      </c>
    </row>
    <row r="507" ht="15.75" customHeight="1" s="9">
      <c r="A507" s="7" t="inlineStr">
        <is>
          <t>盘</t>
        </is>
      </c>
      <c r="B507" s="7" t="n">
        <v>3</v>
      </c>
      <c r="C507" s="3" t="inlineStr">
        <is>
          <t>pán</t>
        </is>
      </c>
      <c r="D507" s="3" t="n">
        <v>2</v>
      </c>
      <c r="E507" s="3" t="inlineStr">
        <is>
          <t>P</t>
        </is>
      </c>
      <c r="F507" s="3" t="inlineStr">
        <is>
          <t>AN</t>
        </is>
      </c>
      <c r="G507" s="3">
        <f>IFERROR(IF(INDEX('HMM Actors'!$B:$B,MATCH(E507,'HMM Actors'!$A:$A,0))="","(not assigned)",INDEX('HMM Actors'!$B:$B,MATCH(E507,'HMM Actors'!$A:$A,0))),"(not assigned)")</f>
        <v/>
      </c>
      <c r="H507" s="3">
        <f>IFERROR(IF(INDEX('HMM Locations'!$B:$B,MATCH(F507,'HMM Locations'!$A:$A,0))="","(not assigned)",INDEX('HMM Locations'!$B:$B,MATCH(F507,'HMM Locations'!$A:$A,0))),"(not assigned)")</f>
        <v/>
      </c>
      <c r="I507" s="3">
        <f>IFERROR(IF(INDEX('HMM Locations'!$C:$G,MATCH(F507,'HMM Locations'!$A:$A,0),D507)="","(not assigned)",INDEX('HMM Locations'!$C:$G,MATCH(F507,'HMM Locations'!$A:$A,0),D507)),"(not assigned)")</f>
        <v/>
      </c>
      <c r="J507" s="3">
        <f>IF(COUNTIF(G507:I507,"(not assigned)")=0,"Ready","Needs grid entry")</f>
        <v/>
      </c>
      <c r="K507" s="3" t="inlineStr"/>
      <c r="L507" s="3" t="inlineStr">
        <is>
          <t>盘子</t>
        </is>
      </c>
    </row>
    <row r="508" ht="15.75" customHeight="1" s="9">
      <c r="A508" s="7" t="inlineStr">
        <is>
          <t>胖</t>
        </is>
      </c>
      <c r="B508" s="7" t="n">
        <v>3</v>
      </c>
      <c r="C508" s="3" t="inlineStr">
        <is>
          <t>pàng</t>
        </is>
      </c>
      <c r="D508" s="3" t="n">
        <v>4</v>
      </c>
      <c r="E508" s="3" t="inlineStr">
        <is>
          <t>P</t>
        </is>
      </c>
      <c r="F508" s="3" t="inlineStr">
        <is>
          <t>ANG</t>
        </is>
      </c>
      <c r="G508" s="3">
        <f>IFERROR(IF(INDEX('HMM Actors'!$B:$B,MATCH(E508,'HMM Actors'!$A:$A,0))="","(not assigned)",INDEX('HMM Actors'!$B:$B,MATCH(E508,'HMM Actors'!$A:$A,0))),"(not assigned)")</f>
        <v/>
      </c>
      <c r="H508" s="3">
        <f>IFERROR(IF(INDEX('HMM Locations'!$B:$B,MATCH(F508,'HMM Locations'!$A:$A,0))="","(not assigned)",INDEX('HMM Locations'!$B:$B,MATCH(F508,'HMM Locations'!$A:$A,0))),"(not assigned)")</f>
        <v/>
      </c>
      <c r="I508" s="3">
        <f>IFERROR(IF(INDEX('HMM Locations'!$C:$G,MATCH(F508,'HMM Locations'!$A:$A,0),D508)="","(not assigned)",INDEX('HMM Locations'!$C:$G,MATCH(F508,'HMM Locations'!$A:$A,0),D508)),"(not assigned)")</f>
        <v/>
      </c>
      <c r="J508" s="3">
        <f>IF(COUNTIF(G508:I508,"(not assigned)")=0,"Ready","Needs grid entry")</f>
        <v/>
      </c>
      <c r="K508" s="3" t="inlineStr"/>
      <c r="L508" s="3" t="inlineStr">
        <is>
          <t>胖</t>
        </is>
      </c>
    </row>
    <row r="509" ht="15.75" customHeight="1" s="9">
      <c r="A509" s="7" t="inlineStr">
        <is>
          <t>皮</t>
        </is>
      </c>
      <c r="B509" s="7" t="n">
        <v>3</v>
      </c>
      <c r="C509" s="3" t="inlineStr">
        <is>
          <t>pí</t>
        </is>
      </c>
      <c r="D509" s="3" t="n">
        <v>2</v>
      </c>
      <c r="E509" s="3" t="inlineStr">
        <is>
          <t>P</t>
        </is>
      </c>
      <c r="F509" s="3" t="inlineStr">
        <is>
          <t>I</t>
        </is>
      </c>
      <c r="G509" s="3">
        <f>IFERROR(IF(INDEX('HMM Actors'!$B:$B,MATCH(E509,'HMM Actors'!$A:$A,0))="","(not assigned)",INDEX('HMM Actors'!$B:$B,MATCH(E509,'HMM Actors'!$A:$A,0))),"(not assigned)")</f>
        <v/>
      </c>
      <c r="H509" s="3">
        <f>IFERROR(IF(INDEX('HMM Locations'!$B:$B,MATCH(F509,'HMM Locations'!$A:$A,0))="","(not assigned)",INDEX('HMM Locations'!$B:$B,MATCH(F509,'HMM Locations'!$A:$A,0))),"(not assigned)")</f>
        <v/>
      </c>
      <c r="I509" s="3">
        <f>IFERROR(IF(INDEX('HMM Locations'!$C:$G,MATCH(F509,'HMM Locations'!$A:$A,0),D509)="","(not assigned)",INDEX('HMM Locations'!$C:$G,MATCH(F509,'HMM Locations'!$A:$A,0),D509)),"(not assigned)")</f>
        <v/>
      </c>
      <c r="J509" s="3">
        <f>IF(COUNTIF(G509:I509,"(not assigned)")=0,"Ready","Needs grid entry")</f>
        <v/>
      </c>
      <c r="K509" s="3" t="inlineStr"/>
      <c r="L509" s="3" t="inlineStr">
        <is>
          <t>皮鞋</t>
        </is>
      </c>
    </row>
    <row r="510" ht="15.75" customHeight="1" s="9">
      <c r="A510" s="7" t="inlineStr">
        <is>
          <t>啤</t>
        </is>
      </c>
      <c r="B510" s="7" t="n">
        <v>3</v>
      </c>
      <c r="C510" s="3" t="inlineStr">
        <is>
          <t>pí</t>
        </is>
      </c>
      <c r="D510" s="3" t="n">
        <v>2</v>
      </c>
      <c r="E510" s="3" t="inlineStr">
        <is>
          <t>P</t>
        </is>
      </c>
      <c r="F510" s="3" t="inlineStr">
        <is>
          <t>I</t>
        </is>
      </c>
      <c r="G510" s="3">
        <f>IFERROR(IF(INDEX('HMM Actors'!$B:$B,MATCH(E510,'HMM Actors'!$A:$A,0))="","(not assigned)",INDEX('HMM Actors'!$B:$B,MATCH(E510,'HMM Actors'!$A:$A,0))),"(not assigned)")</f>
        <v/>
      </c>
      <c r="H510" s="3">
        <f>IFERROR(IF(INDEX('HMM Locations'!$B:$B,MATCH(F510,'HMM Locations'!$A:$A,0))="","(not assigned)",INDEX('HMM Locations'!$B:$B,MATCH(F510,'HMM Locations'!$A:$A,0))),"(not assigned)")</f>
        <v/>
      </c>
      <c r="I510" s="3">
        <f>IFERROR(IF(INDEX('HMM Locations'!$C:$G,MATCH(F510,'HMM Locations'!$A:$A,0),D510)="","(not assigned)",INDEX('HMM Locations'!$C:$G,MATCH(F510,'HMM Locations'!$A:$A,0),D510)),"(not assigned)")</f>
        <v/>
      </c>
      <c r="J510" s="3">
        <f>IF(COUNTIF(G510:I510,"(not assigned)")=0,"Ready","Needs grid entry")</f>
        <v/>
      </c>
      <c r="K510" s="3" t="inlineStr"/>
      <c r="L510" s="3" t="inlineStr">
        <is>
          <t>啤酒</t>
        </is>
      </c>
    </row>
    <row r="511" ht="15.75" customHeight="1" s="9">
      <c r="A511" s="7" t="inlineStr">
        <is>
          <t>片</t>
        </is>
      </c>
      <c r="B511" s="7" t="n">
        <v>3</v>
      </c>
      <c r="C511" s="3" t="inlineStr">
        <is>
          <t>piàn</t>
        </is>
      </c>
      <c r="D511" s="3" t="n">
        <v>4</v>
      </c>
      <c r="E511" s="3" t="inlineStr">
        <is>
          <t>P</t>
        </is>
      </c>
      <c r="F511" s="3" t="inlineStr">
        <is>
          <t>IAN</t>
        </is>
      </c>
      <c r="G511" s="3">
        <f>IFERROR(IF(INDEX('HMM Actors'!$B:$B,MATCH(E511,'HMM Actors'!$A:$A,0))="","(not assigned)",INDEX('HMM Actors'!$B:$B,MATCH(E511,'HMM Actors'!$A:$A,0))),"(not assigned)")</f>
        <v/>
      </c>
      <c r="H511" s="3">
        <f>IFERROR(IF(INDEX('HMM Locations'!$B:$B,MATCH(F511,'HMM Locations'!$A:$A,0))="","(not assigned)",INDEX('HMM Locations'!$B:$B,MATCH(F511,'HMM Locations'!$A:$A,0))),"(not assigned)")</f>
        <v/>
      </c>
      <c r="I511" s="3">
        <f>IFERROR(IF(INDEX('HMM Locations'!$C:$G,MATCH(F511,'HMM Locations'!$A:$A,0),D511)="","(not assigned)",INDEX('HMM Locations'!$C:$G,MATCH(F511,'HMM Locations'!$A:$A,0),D511)),"(not assigned)")</f>
        <v/>
      </c>
      <c r="J511" s="3">
        <f>IF(COUNTIF(G511:I511,"(not assigned)")=0,"Ready","Needs grid entry")</f>
        <v/>
      </c>
      <c r="K511" s="3" t="inlineStr"/>
      <c r="L511" s="3" t="inlineStr">
        <is>
          <t>照片</t>
        </is>
      </c>
    </row>
    <row r="512" ht="15.75" customHeight="1" s="9">
      <c r="A512" s="7" t="inlineStr">
        <is>
          <t>平</t>
        </is>
      </c>
      <c r="B512" s="7" t="n">
        <v>3</v>
      </c>
      <c r="C512" s="3" t="inlineStr">
        <is>
          <t>píng</t>
        </is>
      </c>
      <c r="D512" s="3" t="n">
        <v>2</v>
      </c>
      <c r="E512" s="3" t="inlineStr">
        <is>
          <t>P</t>
        </is>
      </c>
      <c r="F512" s="3" t="inlineStr">
        <is>
          <t>ING</t>
        </is>
      </c>
      <c r="G512" s="3">
        <f>IFERROR(IF(INDEX('HMM Actors'!$B:$B,MATCH(E512,'HMM Actors'!$A:$A,0))="","(not assigned)",INDEX('HMM Actors'!$B:$B,MATCH(E512,'HMM Actors'!$A:$A,0))),"(not assigned)")</f>
        <v/>
      </c>
      <c r="H512" s="3">
        <f>IFERROR(IF(INDEX('HMM Locations'!$B:$B,MATCH(F512,'HMM Locations'!$A:$A,0))="","(not assigned)",INDEX('HMM Locations'!$B:$B,MATCH(F512,'HMM Locations'!$A:$A,0))),"(not assigned)")</f>
        <v/>
      </c>
      <c r="I512" s="3">
        <f>IFERROR(IF(INDEX('HMM Locations'!$C:$G,MATCH(F512,'HMM Locations'!$A:$A,0),D512)="","(not assigned)",INDEX('HMM Locations'!$C:$G,MATCH(F512,'HMM Locations'!$A:$A,0),D512)),"(not assigned)")</f>
        <v/>
      </c>
      <c r="J512" s="3">
        <f>IF(COUNTIF(G512:I512,"(not assigned)")=0,"Ready","Needs grid entry")</f>
        <v/>
      </c>
      <c r="K512" s="3" t="inlineStr"/>
      <c r="L512" s="3" t="inlineStr">
        <is>
          <t>水平</t>
        </is>
      </c>
    </row>
    <row r="513" ht="15.75" customHeight="1" s="9">
      <c r="A513" s="7" t="inlineStr">
        <is>
          <t>瓶</t>
        </is>
      </c>
      <c r="B513" s="7" t="n">
        <v>3</v>
      </c>
      <c r="C513" s="3" t="inlineStr">
        <is>
          <t>píng</t>
        </is>
      </c>
      <c r="D513" s="3" t="n">
        <v>2</v>
      </c>
      <c r="E513" s="3" t="inlineStr">
        <is>
          <t>P</t>
        </is>
      </c>
      <c r="F513" s="3" t="inlineStr">
        <is>
          <t>ING</t>
        </is>
      </c>
      <c r="G513" s="3">
        <f>IFERROR(IF(INDEX('HMM Actors'!$B:$B,MATCH(E513,'HMM Actors'!$A:$A,0))="","(not assigned)",INDEX('HMM Actors'!$B:$B,MATCH(E513,'HMM Actors'!$A:$A,0))),"(not assigned)")</f>
        <v/>
      </c>
      <c r="H513" s="3">
        <f>IFERROR(IF(INDEX('HMM Locations'!$B:$B,MATCH(F513,'HMM Locations'!$A:$A,0))="","(not assigned)",INDEX('HMM Locations'!$B:$B,MATCH(F513,'HMM Locations'!$A:$A,0))),"(not assigned)")</f>
        <v/>
      </c>
      <c r="I513" s="3">
        <f>IFERROR(IF(INDEX('HMM Locations'!$C:$G,MATCH(F513,'HMM Locations'!$A:$A,0),D513)="","(not assigned)",INDEX('HMM Locations'!$C:$G,MATCH(F513,'HMM Locations'!$A:$A,0),D513)),"(not assigned)")</f>
        <v/>
      </c>
      <c r="J513" s="3">
        <f>IF(COUNTIF(G513:I513,"(not assigned)")=0,"Ready","Needs grid entry")</f>
        <v/>
      </c>
      <c r="K513" s="3" t="inlineStr"/>
      <c r="L513" s="3" t="inlineStr">
        <is>
          <t>瓶子</t>
        </is>
      </c>
    </row>
    <row r="514" ht="15.75" customHeight="1" s="9">
      <c r="A514" s="7" t="inlineStr">
        <is>
          <t>其</t>
        </is>
      </c>
      <c r="B514" s="7" t="n">
        <v>3</v>
      </c>
      <c r="C514" s="3" t="inlineStr">
        <is>
          <t>qí</t>
        </is>
      </c>
      <c r="D514" s="3" t="n">
        <v>2</v>
      </c>
      <c r="E514" s="3" t="inlineStr">
        <is>
          <t>Q</t>
        </is>
      </c>
      <c r="F514" s="3" t="inlineStr">
        <is>
          <t>I</t>
        </is>
      </c>
      <c r="G514" s="3">
        <f>IFERROR(IF(INDEX('HMM Actors'!$B:$B,MATCH(E514,'HMM Actors'!$A:$A,0))="","(not assigned)",INDEX('HMM Actors'!$B:$B,MATCH(E514,'HMM Actors'!$A:$A,0))),"(not assigned)")</f>
        <v/>
      </c>
      <c r="H514" s="3">
        <f>IFERROR(IF(INDEX('HMM Locations'!$B:$B,MATCH(F514,'HMM Locations'!$A:$A,0))="","(not assigned)",INDEX('HMM Locations'!$B:$B,MATCH(F514,'HMM Locations'!$A:$A,0))),"(not assigned)")</f>
        <v/>
      </c>
      <c r="I514" s="3">
        <f>IFERROR(IF(INDEX('HMM Locations'!$C:$G,MATCH(F514,'HMM Locations'!$A:$A,0),D514)="","(not assigned)",INDEX('HMM Locations'!$C:$G,MATCH(F514,'HMM Locations'!$A:$A,0),D514)),"(not assigned)")</f>
        <v/>
      </c>
      <c r="J514" s="3">
        <f>IF(COUNTIF(G514:I514,"(not assigned)")=0,"Ready","Needs grid entry")</f>
        <v/>
      </c>
      <c r="K514" s="3" t="inlineStr"/>
      <c r="L514" s="3" t="inlineStr">
        <is>
          <t>其实、其他</t>
        </is>
      </c>
    </row>
    <row r="515" ht="15.75" customHeight="1" s="9">
      <c r="A515" s="7" t="inlineStr">
        <is>
          <t>奇</t>
        </is>
      </c>
      <c r="B515" s="7" t="n">
        <v>3</v>
      </c>
      <c r="C515" s="3" t="inlineStr">
        <is>
          <t>qí</t>
        </is>
      </c>
      <c r="D515" s="3" t="n">
        <v>2</v>
      </c>
      <c r="E515" s="3" t="inlineStr">
        <is>
          <t>Q</t>
        </is>
      </c>
      <c r="F515" s="3" t="inlineStr">
        <is>
          <t>I</t>
        </is>
      </c>
      <c r="G515" s="3">
        <f>IFERROR(IF(INDEX('HMM Actors'!$B:$B,MATCH(E515,'HMM Actors'!$A:$A,0))="","(not assigned)",INDEX('HMM Actors'!$B:$B,MATCH(E515,'HMM Actors'!$A:$A,0))),"(not assigned)")</f>
        <v/>
      </c>
      <c r="H515" s="3">
        <f>IFERROR(IF(INDEX('HMM Locations'!$B:$B,MATCH(F515,'HMM Locations'!$A:$A,0))="","(not assigned)",INDEX('HMM Locations'!$B:$B,MATCH(F515,'HMM Locations'!$A:$A,0))),"(not assigned)")</f>
        <v/>
      </c>
      <c r="I515" s="3">
        <f>IFERROR(IF(INDEX('HMM Locations'!$C:$G,MATCH(F515,'HMM Locations'!$A:$A,0),D515)="","(not assigned)",INDEX('HMM Locations'!$C:$G,MATCH(F515,'HMM Locations'!$A:$A,0),D515)),"(not assigned)")</f>
        <v/>
      </c>
      <c r="J515" s="3">
        <f>IF(COUNTIF(G515:I515,"(not assigned)")=0,"Ready","Needs grid entry")</f>
        <v/>
      </c>
      <c r="K515" s="3" t="inlineStr"/>
      <c r="L515" s="3" t="inlineStr">
        <is>
          <t>奇怪</t>
        </is>
      </c>
    </row>
    <row r="516" ht="15.75" customHeight="1" s="9">
      <c r="A516" s="7" t="inlineStr">
        <is>
          <t>骑</t>
        </is>
      </c>
      <c r="B516" s="7" t="n">
        <v>3</v>
      </c>
      <c r="C516" s="3" t="inlineStr">
        <is>
          <t>qí</t>
        </is>
      </c>
      <c r="D516" s="3" t="n">
        <v>2</v>
      </c>
      <c r="E516" s="3" t="inlineStr">
        <is>
          <t>Q</t>
        </is>
      </c>
      <c r="F516" s="3" t="inlineStr">
        <is>
          <t>I</t>
        </is>
      </c>
      <c r="G516" s="3">
        <f>IFERROR(IF(INDEX('HMM Actors'!$B:$B,MATCH(E516,'HMM Actors'!$A:$A,0))="","(not assigned)",INDEX('HMM Actors'!$B:$B,MATCH(E516,'HMM Actors'!$A:$A,0))),"(not assigned)")</f>
        <v/>
      </c>
      <c r="H516" s="3">
        <f>IFERROR(IF(INDEX('HMM Locations'!$B:$B,MATCH(F516,'HMM Locations'!$A:$A,0))="","(not assigned)",INDEX('HMM Locations'!$B:$B,MATCH(F516,'HMM Locations'!$A:$A,0))),"(not assigned)")</f>
        <v/>
      </c>
      <c r="I516" s="3">
        <f>IFERROR(IF(INDEX('HMM Locations'!$C:$G,MATCH(F516,'HMM Locations'!$A:$A,0),D516)="","(not assigned)",INDEX('HMM Locations'!$C:$G,MATCH(F516,'HMM Locations'!$A:$A,0),D516)),"(not assigned)")</f>
        <v/>
      </c>
      <c r="J516" s="3">
        <f>IF(COUNTIF(G516:I516,"(not assigned)")=0,"Ready","Needs grid entry")</f>
        <v/>
      </c>
      <c r="K516" s="3" t="inlineStr"/>
      <c r="L516" s="3" t="inlineStr">
        <is>
          <t>骑</t>
        </is>
      </c>
    </row>
    <row r="517" ht="15.75" customHeight="1" s="9">
      <c r="A517" s="7" t="inlineStr">
        <is>
          <t>且</t>
        </is>
      </c>
      <c r="B517" s="7" t="n">
        <v>3</v>
      </c>
      <c r="C517" s="3" t="inlineStr">
        <is>
          <t>qiě</t>
        </is>
      </c>
      <c r="D517" s="3" t="n">
        <v>3</v>
      </c>
      <c r="E517" s="3" t="inlineStr">
        <is>
          <t>Q</t>
        </is>
      </c>
      <c r="F517" s="3" t="inlineStr">
        <is>
          <t>IE</t>
        </is>
      </c>
      <c r="G517" s="3">
        <f>IFERROR(IF(INDEX('HMM Actors'!$B:$B,MATCH(E517,'HMM Actors'!$A:$A,0))="","(not assigned)",INDEX('HMM Actors'!$B:$B,MATCH(E517,'HMM Actors'!$A:$A,0))),"(not assigned)")</f>
        <v/>
      </c>
      <c r="H517" s="3">
        <f>IFERROR(IF(INDEX('HMM Locations'!$B:$B,MATCH(F517,'HMM Locations'!$A:$A,0))="","(not assigned)",INDEX('HMM Locations'!$B:$B,MATCH(F517,'HMM Locations'!$A:$A,0))),"(not assigned)")</f>
        <v/>
      </c>
      <c r="I517" s="3">
        <f>IFERROR(IF(INDEX('HMM Locations'!$C:$G,MATCH(F517,'HMM Locations'!$A:$A,0),D517)="","(not assigned)",INDEX('HMM Locations'!$C:$G,MATCH(F517,'HMM Locations'!$A:$A,0),D517)),"(not assigned)")</f>
        <v/>
      </c>
      <c r="J517" s="3">
        <f>IF(COUNTIF(G517:I517,"(not assigned)")=0,"Ready","Needs grid entry")</f>
        <v/>
      </c>
      <c r="K517" s="3" t="inlineStr"/>
      <c r="L517" s="3" t="inlineStr">
        <is>
          <t>不但…而且…</t>
        </is>
      </c>
    </row>
    <row r="518" ht="15.75" customHeight="1" s="9">
      <c r="A518" s="7" t="inlineStr">
        <is>
          <t>轻</t>
        </is>
      </c>
      <c r="B518" s="7" t="n">
        <v>3</v>
      </c>
      <c r="C518" s="3" t="inlineStr">
        <is>
          <t>qīng</t>
        </is>
      </c>
      <c r="D518" s="3" t="n">
        <v>1</v>
      </c>
      <c r="E518" s="3" t="inlineStr">
        <is>
          <t>Q</t>
        </is>
      </c>
      <c r="F518" s="3" t="inlineStr">
        <is>
          <t>ING</t>
        </is>
      </c>
      <c r="G518" s="3">
        <f>IFERROR(IF(INDEX('HMM Actors'!$B:$B,MATCH(E518,'HMM Actors'!$A:$A,0))="","(not assigned)",INDEX('HMM Actors'!$B:$B,MATCH(E518,'HMM Actors'!$A:$A,0))),"(not assigned)")</f>
        <v/>
      </c>
      <c r="H518" s="3">
        <f>IFERROR(IF(INDEX('HMM Locations'!$B:$B,MATCH(F518,'HMM Locations'!$A:$A,0))="","(not assigned)",INDEX('HMM Locations'!$B:$B,MATCH(F518,'HMM Locations'!$A:$A,0))),"(not assigned)")</f>
        <v/>
      </c>
      <c r="I518" s="3">
        <f>IFERROR(IF(INDEX('HMM Locations'!$C:$G,MATCH(F518,'HMM Locations'!$A:$A,0),D518)="","(not assigned)",INDEX('HMM Locations'!$C:$G,MATCH(F518,'HMM Locations'!$A:$A,0),D518)),"(not assigned)")</f>
        <v/>
      </c>
      <c r="J518" s="3">
        <f>IF(COUNTIF(G518:I518,"(not assigned)")=0,"Ready","Needs grid entry")</f>
        <v/>
      </c>
      <c r="K518" s="3" t="inlineStr"/>
      <c r="L518" s="3" t="inlineStr">
        <is>
          <t>年轻</t>
        </is>
      </c>
    </row>
    <row r="519" ht="15.75" customHeight="1" s="9">
      <c r="A519" s="7" t="inlineStr">
        <is>
          <t>清</t>
        </is>
      </c>
      <c r="B519" s="7" t="n">
        <v>3</v>
      </c>
      <c r="C519" s="3" t="inlineStr">
        <is>
          <t>qīng</t>
        </is>
      </c>
      <c r="D519" s="3" t="n">
        <v>1</v>
      </c>
      <c r="E519" s="3" t="inlineStr">
        <is>
          <t>Q</t>
        </is>
      </c>
      <c r="F519" s="3" t="inlineStr">
        <is>
          <t>ING</t>
        </is>
      </c>
      <c r="G519" s="3">
        <f>IFERROR(IF(INDEX('HMM Actors'!$B:$B,MATCH(E519,'HMM Actors'!$A:$A,0))="","(not assigned)",INDEX('HMM Actors'!$B:$B,MATCH(E519,'HMM Actors'!$A:$A,0))),"(not assigned)")</f>
        <v/>
      </c>
      <c r="H519" s="3">
        <f>IFERROR(IF(INDEX('HMM Locations'!$B:$B,MATCH(F519,'HMM Locations'!$A:$A,0))="","(not assigned)",INDEX('HMM Locations'!$B:$B,MATCH(F519,'HMM Locations'!$A:$A,0))),"(not assigned)")</f>
        <v/>
      </c>
      <c r="I519" s="3">
        <f>IFERROR(IF(INDEX('HMM Locations'!$C:$G,MATCH(F519,'HMM Locations'!$A:$A,0),D519)="","(not assigned)",INDEX('HMM Locations'!$C:$G,MATCH(F519,'HMM Locations'!$A:$A,0),D519)),"(not assigned)")</f>
        <v/>
      </c>
      <c r="J519" s="3">
        <f>IF(COUNTIF(G519:I519,"(not assigned)")=0,"Ready","Needs grid entry")</f>
        <v/>
      </c>
      <c r="K519" s="3" t="inlineStr"/>
      <c r="L519" s="3" t="inlineStr">
        <is>
          <t>清楚</t>
        </is>
      </c>
    </row>
    <row r="520" ht="15.75" customHeight="1" s="9">
      <c r="A520" s="7" t="inlineStr">
        <is>
          <t>秋</t>
        </is>
      </c>
      <c r="B520" s="7" t="n">
        <v>3</v>
      </c>
      <c r="C520" s="3" t="inlineStr">
        <is>
          <t>qiū</t>
        </is>
      </c>
      <c r="D520" s="3" t="n">
        <v>1</v>
      </c>
      <c r="E520" s="3" t="inlineStr">
        <is>
          <t>Q</t>
        </is>
      </c>
      <c r="F520" s="3" t="inlineStr">
        <is>
          <t>IU</t>
        </is>
      </c>
      <c r="G520" s="3">
        <f>IFERROR(IF(INDEX('HMM Actors'!$B:$B,MATCH(E520,'HMM Actors'!$A:$A,0))="","(not assigned)",INDEX('HMM Actors'!$B:$B,MATCH(E520,'HMM Actors'!$A:$A,0))),"(not assigned)")</f>
        <v/>
      </c>
      <c r="H520" s="3">
        <f>IFERROR(IF(INDEX('HMM Locations'!$B:$B,MATCH(F520,'HMM Locations'!$A:$A,0))="","(not assigned)",INDEX('HMM Locations'!$B:$B,MATCH(F520,'HMM Locations'!$A:$A,0))),"(not assigned)")</f>
        <v/>
      </c>
      <c r="I520" s="3">
        <f>IFERROR(IF(INDEX('HMM Locations'!$C:$G,MATCH(F520,'HMM Locations'!$A:$A,0),D520)="","(not assigned)",INDEX('HMM Locations'!$C:$G,MATCH(F520,'HMM Locations'!$A:$A,0),D520)),"(not assigned)")</f>
        <v/>
      </c>
      <c r="J520" s="3">
        <f>IF(COUNTIF(G520:I520,"(not assigned)")=0,"Ready","Needs grid entry")</f>
        <v/>
      </c>
      <c r="K520" s="3" t="inlineStr"/>
      <c r="L520" s="3" t="inlineStr">
        <is>
          <t>秋</t>
        </is>
      </c>
    </row>
    <row r="521" ht="15.75" customHeight="1" s="9">
      <c r="A521" s="7" t="inlineStr">
        <is>
          <t>求</t>
        </is>
      </c>
      <c r="B521" s="7" t="n">
        <v>3</v>
      </c>
      <c r="C521" s="3" t="inlineStr">
        <is>
          <t>qiú</t>
        </is>
      </c>
      <c r="D521" s="3" t="n">
        <v>2</v>
      </c>
      <c r="E521" s="3" t="inlineStr">
        <is>
          <t>Q</t>
        </is>
      </c>
      <c r="F521" s="3" t="inlineStr">
        <is>
          <t>IU</t>
        </is>
      </c>
      <c r="G521" s="3">
        <f>IFERROR(IF(INDEX('HMM Actors'!$B:$B,MATCH(E521,'HMM Actors'!$A:$A,0))="","(not assigned)",INDEX('HMM Actors'!$B:$B,MATCH(E521,'HMM Actors'!$A:$A,0))),"(not assigned)")</f>
        <v/>
      </c>
      <c r="H521" s="3">
        <f>IFERROR(IF(INDEX('HMM Locations'!$B:$B,MATCH(F521,'HMM Locations'!$A:$A,0))="","(not assigned)",INDEX('HMM Locations'!$B:$B,MATCH(F521,'HMM Locations'!$A:$A,0))),"(not assigned)")</f>
        <v/>
      </c>
      <c r="I521" s="3">
        <f>IFERROR(IF(INDEX('HMM Locations'!$C:$G,MATCH(F521,'HMM Locations'!$A:$A,0),D521)="","(not assigned)",INDEX('HMM Locations'!$C:$G,MATCH(F521,'HMM Locations'!$A:$A,0),D521)),"(not assigned)")</f>
        <v/>
      </c>
      <c r="J521" s="3">
        <f>IF(COUNTIF(G521:I521,"(not assigned)")=0,"Ready","Needs grid entry")</f>
        <v/>
      </c>
      <c r="K521" s="3" t="inlineStr"/>
      <c r="L521" s="3" t="inlineStr">
        <is>
          <t>要求</t>
        </is>
      </c>
    </row>
    <row r="522" ht="15.75" customHeight="1" s="9">
      <c r="A522" s="7" t="inlineStr">
        <is>
          <t>趣</t>
        </is>
      </c>
      <c r="B522" s="7" t="n">
        <v>3</v>
      </c>
      <c r="C522" s="3" t="inlineStr">
        <is>
          <t>qù</t>
        </is>
      </c>
      <c r="D522" s="3" t="n">
        <v>4</v>
      </c>
      <c r="E522" s="3" t="inlineStr">
        <is>
          <t>Q</t>
        </is>
      </c>
      <c r="F522" s="3" t="inlineStr">
        <is>
          <t>U</t>
        </is>
      </c>
      <c r="G522" s="3">
        <f>IFERROR(IF(INDEX('HMM Actors'!$B:$B,MATCH(E522,'HMM Actors'!$A:$A,0))="","(not assigned)",INDEX('HMM Actors'!$B:$B,MATCH(E522,'HMM Actors'!$A:$A,0))),"(not assigned)")</f>
        <v/>
      </c>
      <c r="H522" s="3">
        <f>IFERROR(IF(INDEX('HMM Locations'!$B:$B,MATCH(F522,'HMM Locations'!$A:$A,0))="","(not assigned)",INDEX('HMM Locations'!$B:$B,MATCH(F522,'HMM Locations'!$A:$A,0))),"(not assigned)")</f>
        <v/>
      </c>
      <c r="I522" s="3">
        <f>IFERROR(IF(INDEX('HMM Locations'!$C:$G,MATCH(F522,'HMM Locations'!$A:$A,0),D522)="","(not assigned)",INDEX('HMM Locations'!$C:$G,MATCH(F522,'HMM Locations'!$A:$A,0),D522)),"(not assigned)")</f>
        <v/>
      </c>
      <c r="J522" s="3">
        <f>IF(COUNTIF(G522:I522,"(not assigned)")=0,"Ready","Needs grid entry")</f>
        <v/>
      </c>
      <c r="K522" s="3" t="inlineStr"/>
      <c r="L522" s="3" t="inlineStr">
        <is>
          <t>感兴趣</t>
        </is>
      </c>
    </row>
    <row r="523" ht="15.75" customHeight="1" s="9">
      <c r="A523" s="7" t="inlineStr">
        <is>
          <t>裙</t>
        </is>
      </c>
      <c r="B523" s="7" t="n">
        <v>3</v>
      </c>
      <c r="C523" s="3" t="inlineStr">
        <is>
          <t>qún</t>
        </is>
      </c>
      <c r="D523" s="3" t="n">
        <v>2</v>
      </c>
      <c r="E523" s="3" t="inlineStr">
        <is>
          <t>Q</t>
        </is>
      </c>
      <c r="F523" s="3" t="inlineStr">
        <is>
          <t>UN</t>
        </is>
      </c>
      <c r="G523" s="3">
        <f>IFERROR(IF(INDEX('HMM Actors'!$B:$B,MATCH(E523,'HMM Actors'!$A:$A,0))="","(not assigned)",INDEX('HMM Actors'!$B:$B,MATCH(E523,'HMM Actors'!$A:$A,0))),"(not assigned)")</f>
        <v/>
      </c>
      <c r="H523" s="3">
        <f>IFERROR(IF(INDEX('HMM Locations'!$B:$B,MATCH(F523,'HMM Locations'!$A:$A,0))="","(not assigned)",INDEX('HMM Locations'!$B:$B,MATCH(F523,'HMM Locations'!$A:$A,0))),"(not assigned)")</f>
        <v/>
      </c>
      <c r="I523" s="3">
        <f>IFERROR(IF(INDEX('HMM Locations'!$C:$G,MATCH(F523,'HMM Locations'!$A:$A,0),D523)="","(not assigned)",INDEX('HMM Locations'!$C:$G,MATCH(F523,'HMM Locations'!$A:$A,0),D523)),"(not assigned)")</f>
        <v/>
      </c>
      <c r="J523" s="3">
        <f>IF(COUNTIF(G523:I523,"(not assigned)")=0,"Ready","Needs grid entry")</f>
        <v/>
      </c>
      <c r="K523" s="3" t="inlineStr"/>
      <c r="L523" s="3" t="inlineStr">
        <is>
          <t>裙子</t>
        </is>
      </c>
    </row>
    <row r="524" ht="15.75" customHeight="1" s="9">
      <c r="A524" s="7" t="inlineStr">
        <is>
          <t>容</t>
        </is>
      </c>
      <c r="B524" s="7" t="n">
        <v>3</v>
      </c>
      <c r="C524" s="3" t="inlineStr">
        <is>
          <t>róng</t>
        </is>
      </c>
      <c r="D524" s="3" t="n">
        <v>2</v>
      </c>
      <c r="E524" s="3" t="inlineStr">
        <is>
          <t>R</t>
        </is>
      </c>
      <c r="F524" s="3" t="inlineStr">
        <is>
          <t>ONG</t>
        </is>
      </c>
      <c r="G524" s="3">
        <f>IFERROR(IF(INDEX('HMM Actors'!$B:$B,MATCH(E524,'HMM Actors'!$A:$A,0))="","(not assigned)",INDEX('HMM Actors'!$B:$B,MATCH(E524,'HMM Actors'!$A:$A,0))),"(not assigned)")</f>
        <v/>
      </c>
      <c r="H524" s="3">
        <f>IFERROR(IF(INDEX('HMM Locations'!$B:$B,MATCH(F524,'HMM Locations'!$A:$A,0))="","(not assigned)",INDEX('HMM Locations'!$B:$B,MATCH(F524,'HMM Locations'!$A:$A,0))),"(not assigned)")</f>
        <v/>
      </c>
      <c r="I524" s="3">
        <f>IFERROR(IF(INDEX('HMM Locations'!$C:$G,MATCH(F524,'HMM Locations'!$A:$A,0),D524)="","(not assigned)",INDEX('HMM Locations'!$C:$G,MATCH(F524,'HMM Locations'!$A:$A,0),D524)),"(not assigned)")</f>
        <v/>
      </c>
      <c r="J524" s="3">
        <f>IF(COUNTIF(G524:I524,"(not assigned)")=0,"Ready","Needs grid entry")</f>
        <v/>
      </c>
      <c r="K524" s="3" t="inlineStr"/>
      <c r="L524" s="3" t="inlineStr">
        <is>
          <t>容易</t>
        </is>
      </c>
    </row>
    <row r="525" ht="15.75" customHeight="1" s="9">
      <c r="A525" s="7" t="inlineStr">
        <is>
          <t>如</t>
        </is>
      </c>
      <c r="B525" s="7" t="n">
        <v>3</v>
      </c>
      <c r="C525" s="3" t="inlineStr">
        <is>
          <t>rú</t>
        </is>
      </c>
      <c r="D525" s="3" t="n">
        <v>2</v>
      </c>
      <c r="E525" s="3" t="inlineStr">
        <is>
          <t>R</t>
        </is>
      </c>
      <c r="F525" s="3" t="inlineStr">
        <is>
          <t>U</t>
        </is>
      </c>
      <c r="G525" s="3">
        <f>IFERROR(IF(INDEX('HMM Actors'!$B:$B,MATCH(E525,'HMM Actors'!$A:$A,0))="","(not assigned)",INDEX('HMM Actors'!$B:$B,MATCH(E525,'HMM Actors'!$A:$A,0))),"(not assigned)")</f>
        <v/>
      </c>
      <c r="H525" s="3">
        <f>IFERROR(IF(INDEX('HMM Locations'!$B:$B,MATCH(F525,'HMM Locations'!$A:$A,0))="","(not assigned)",INDEX('HMM Locations'!$B:$B,MATCH(F525,'HMM Locations'!$A:$A,0))),"(not assigned)")</f>
        <v/>
      </c>
      <c r="I525" s="3">
        <f>IFERROR(IF(INDEX('HMM Locations'!$C:$G,MATCH(F525,'HMM Locations'!$A:$A,0),D525)="","(not assigned)",INDEX('HMM Locations'!$C:$G,MATCH(F525,'HMM Locations'!$A:$A,0),D525)),"(not assigned)")</f>
        <v/>
      </c>
      <c r="J525" s="3">
        <f>IF(COUNTIF(G525:I525,"(not assigned)")=0,"Ready","Needs grid entry")</f>
        <v/>
      </c>
      <c r="K525" s="3" t="inlineStr"/>
      <c r="L525" s="3" t="inlineStr">
        <is>
          <t>如果</t>
        </is>
      </c>
    </row>
    <row r="526" ht="15.75" customHeight="1" s="9">
      <c r="A526" s="7" t="inlineStr">
        <is>
          <t>赛</t>
        </is>
      </c>
      <c r="B526" s="7" t="n">
        <v>3</v>
      </c>
      <c r="C526" s="3" t="inlineStr">
        <is>
          <t>sài</t>
        </is>
      </c>
      <c r="D526" s="3" t="n">
        <v>4</v>
      </c>
      <c r="E526" s="3" t="inlineStr">
        <is>
          <t>S</t>
        </is>
      </c>
      <c r="F526" s="3" t="inlineStr">
        <is>
          <t>AI</t>
        </is>
      </c>
      <c r="G526" s="3">
        <f>IFERROR(IF(INDEX('HMM Actors'!$B:$B,MATCH(E526,'HMM Actors'!$A:$A,0))="","(not assigned)",INDEX('HMM Actors'!$B:$B,MATCH(E526,'HMM Actors'!$A:$A,0))),"(not assigned)")</f>
        <v/>
      </c>
      <c r="H526" s="3">
        <f>IFERROR(IF(INDEX('HMM Locations'!$B:$B,MATCH(F526,'HMM Locations'!$A:$A,0))="","(not assigned)",INDEX('HMM Locations'!$B:$B,MATCH(F526,'HMM Locations'!$A:$A,0))),"(not assigned)")</f>
        <v/>
      </c>
      <c r="I526" s="3">
        <f>IFERROR(IF(INDEX('HMM Locations'!$C:$G,MATCH(F526,'HMM Locations'!$A:$A,0),D526)="","(not assigned)",INDEX('HMM Locations'!$C:$G,MATCH(F526,'HMM Locations'!$A:$A,0),D526)),"(not assigned)")</f>
        <v/>
      </c>
      <c r="J526" s="3">
        <f>IF(COUNTIF(G526:I526,"(not assigned)")=0,"Ready","Needs grid entry")</f>
        <v/>
      </c>
      <c r="K526" s="3" t="inlineStr"/>
      <c r="L526" s="3" t="inlineStr">
        <is>
          <t>比赛</t>
        </is>
      </c>
    </row>
    <row r="527" ht="15.75" customHeight="1" s="9">
      <c r="A527" s="7" t="inlineStr">
        <is>
          <t>伞</t>
        </is>
      </c>
      <c r="B527" s="7" t="n">
        <v>3</v>
      </c>
      <c r="C527" s="3" t="inlineStr">
        <is>
          <t>sǎn</t>
        </is>
      </c>
      <c r="D527" s="3" t="n">
        <v>3</v>
      </c>
      <c r="E527" s="3" t="inlineStr">
        <is>
          <t>S</t>
        </is>
      </c>
      <c r="F527" s="3" t="inlineStr">
        <is>
          <t>AN</t>
        </is>
      </c>
      <c r="G527" s="3">
        <f>IFERROR(IF(INDEX('HMM Actors'!$B:$B,MATCH(E527,'HMM Actors'!$A:$A,0))="","(not assigned)",INDEX('HMM Actors'!$B:$B,MATCH(E527,'HMM Actors'!$A:$A,0))),"(not assigned)")</f>
        <v/>
      </c>
      <c r="H527" s="3">
        <f>IFERROR(IF(INDEX('HMM Locations'!$B:$B,MATCH(F527,'HMM Locations'!$A:$A,0))="","(not assigned)",INDEX('HMM Locations'!$B:$B,MATCH(F527,'HMM Locations'!$A:$A,0))),"(not assigned)")</f>
        <v/>
      </c>
      <c r="I527" s="3">
        <f>IFERROR(IF(INDEX('HMM Locations'!$C:$G,MATCH(F527,'HMM Locations'!$A:$A,0),D527)="","(not assigned)",INDEX('HMM Locations'!$C:$G,MATCH(F527,'HMM Locations'!$A:$A,0),D527)),"(not assigned)")</f>
        <v/>
      </c>
      <c r="J527" s="3">
        <f>IF(COUNTIF(G527:I527,"(not assigned)")=0,"Ready","Needs grid entry")</f>
        <v/>
      </c>
      <c r="K527" s="3" t="inlineStr"/>
      <c r="L527" s="3" t="inlineStr">
        <is>
          <t>伞</t>
        </is>
      </c>
    </row>
    <row r="528" ht="15.75" customHeight="1" s="9">
      <c r="A528" s="7" t="inlineStr">
        <is>
          <t>扫</t>
        </is>
      </c>
      <c r="B528" s="7" t="n">
        <v>3</v>
      </c>
      <c r="C528" s="3" t="inlineStr">
        <is>
          <t>sǎo</t>
        </is>
      </c>
      <c r="D528" s="3" t="n">
        <v>3</v>
      </c>
      <c r="E528" s="3" t="inlineStr">
        <is>
          <t>S</t>
        </is>
      </c>
      <c r="F528" s="3" t="inlineStr">
        <is>
          <t>AO</t>
        </is>
      </c>
      <c r="G528" s="3">
        <f>IFERROR(IF(INDEX('HMM Actors'!$B:$B,MATCH(E528,'HMM Actors'!$A:$A,0))="","(not assigned)",INDEX('HMM Actors'!$B:$B,MATCH(E528,'HMM Actors'!$A:$A,0))),"(not assigned)")</f>
        <v/>
      </c>
      <c r="H528" s="3">
        <f>IFERROR(IF(INDEX('HMM Locations'!$B:$B,MATCH(F528,'HMM Locations'!$A:$A,0))="","(not assigned)",INDEX('HMM Locations'!$B:$B,MATCH(F528,'HMM Locations'!$A:$A,0))),"(not assigned)")</f>
        <v/>
      </c>
      <c r="I528" s="3">
        <f>IFERROR(IF(INDEX('HMM Locations'!$C:$G,MATCH(F528,'HMM Locations'!$A:$A,0),D528)="","(not assigned)",INDEX('HMM Locations'!$C:$G,MATCH(F528,'HMM Locations'!$A:$A,0),D528)),"(not assigned)")</f>
        <v/>
      </c>
      <c r="J528" s="3">
        <f>IF(COUNTIF(G528:I528,"(not assigned)")=0,"Ready","Needs grid entry")</f>
        <v/>
      </c>
      <c r="K528" s="3" t="inlineStr"/>
      <c r="L528" s="3" t="inlineStr">
        <is>
          <t>打扫</t>
        </is>
      </c>
    </row>
    <row r="529" ht="15.75" customHeight="1" s="9">
      <c r="A529" s="7" t="inlineStr">
        <is>
          <t>山</t>
        </is>
      </c>
      <c r="B529" s="7" t="n">
        <v>3</v>
      </c>
      <c r="C529" s="3" t="inlineStr">
        <is>
          <t>shān</t>
        </is>
      </c>
      <c r="D529" s="3" t="n">
        <v>1</v>
      </c>
      <c r="E529" s="3" t="inlineStr">
        <is>
          <t>SH</t>
        </is>
      </c>
      <c r="F529" s="3" t="inlineStr">
        <is>
          <t>AN</t>
        </is>
      </c>
      <c r="G529" s="3">
        <f>IFERROR(IF(INDEX('HMM Actors'!$B:$B,MATCH(E529,'HMM Actors'!$A:$A,0))="","(not assigned)",INDEX('HMM Actors'!$B:$B,MATCH(E529,'HMM Actors'!$A:$A,0))),"(not assigned)")</f>
        <v/>
      </c>
      <c r="H529" s="3">
        <f>IFERROR(IF(INDEX('HMM Locations'!$B:$B,MATCH(F529,'HMM Locations'!$A:$A,0))="","(not assigned)",INDEX('HMM Locations'!$B:$B,MATCH(F529,'HMM Locations'!$A:$A,0))),"(not assigned)")</f>
        <v/>
      </c>
      <c r="I529" s="3">
        <f>IFERROR(IF(INDEX('HMM Locations'!$C:$G,MATCH(F529,'HMM Locations'!$A:$A,0),D529)="","(not assigned)",INDEX('HMM Locations'!$C:$G,MATCH(F529,'HMM Locations'!$A:$A,0),D529)),"(not assigned)")</f>
        <v/>
      </c>
      <c r="J529" s="3">
        <f>IF(COUNTIF(G529:I529,"(not assigned)")=0,"Ready","Needs grid entry")</f>
        <v/>
      </c>
      <c r="K529" s="3" t="inlineStr"/>
      <c r="L529" s="3" t="inlineStr">
        <is>
          <t>爬山</t>
        </is>
      </c>
    </row>
    <row r="530" ht="15.75" customHeight="1" s="9">
      <c r="A530" s="7" t="inlineStr">
        <is>
          <t>衫</t>
        </is>
      </c>
      <c r="B530" s="7" t="n">
        <v>3</v>
      </c>
      <c r="C530" s="3" t="inlineStr">
        <is>
          <t>shān</t>
        </is>
      </c>
      <c r="D530" s="3" t="n">
        <v>1</v>
      </c>
      <c r="E530" s="3" t="inlineStr">
        <is>
          <t>SH</t>
        </is>
      </c>
      <c r="F530" s="3" t="inlineStr">
        <is>
          <t>AN</t>
        </is>
      </c>
      <c r="G530" s="3">
        <f>IFERROR(IF(INDEX('HMM Actors'!$B:$B,MATCH(E530,'HMM Actors'!$A:$A,0))="","(not assigned)",INDEX('HMM Actors'!$B:$B,MATCH(E530,'HMM Actors'!$A:$A,0))),"(not assigned)")</f>
        <v/>
      </c>
      <c r="H530" s="3">
        <f>IFERROR(IF(INDEX('HMM Locations'!$B:$B,MATCH(F530,'HMM Locations'!$A:$A,0))="","(not assigned)",INDEX('HMM Locations'!$B:$B,MATCH(F530,'HMM Locations'!$A:$A,0))),"(not assigned)")</f>
        <v/>
      </c>
      <c r="I530" s="3">
        <f>IFERROR(IF(INDEX('HMM Locations'!$C:$G,MATCH(F530,'HMM Locations'!$A:$A,0),D530)="","(not assigned)",INDEX('HMM Locations'!$C:$G,MATCH(F530,'HMM Locations'!$A:$A,0),D530)),"(not assigned)")</f>
        <v/>
      </c>
      <c r="J530" s="3">
        <f>IF(COUNTIF(G530:I530,"(not assigned)")=0,"Ready","Needs grid entry")</f>
        <v/>
      </c>
      <c r="K530" s="3" t="inlineStr"/>
      <c r="L530" s="3" t="inlineStr">
        <is>
          <t>衬衫</t>
        </is>
      </c>
    </row>
    <row r="531" ht="15.75" customHeight="1" s="9">
      <c r="A531" s="7" t="inlineStr">
        <is>
          <t>烧</t>
        </is>
      </c>
      <c r="B531" s="7" t="n">
        <v>3</v>
      </c>
      <c r="C531" s="3" t="inlineStr">
        <is>
          <t>shāo</t>
        </is>
      </c>
      <c r="D531" s="3" t="n">
        <v>1</v>
      </c>
      <c r="E531" s="3" t="inlineStr">
        <is>
          <t>SH</t>
        </is>
      </c>
      <c r="F531" s="3" t="inlineStr">
        <is>
          <t>AO</t>
        </is>
      </c>
      <c r="G531" s="3">
        <f>IFERROR(IF(INDEX('HMM Actors'!$B:$B,MATCH(E531,'HMM Actors'!$A:$A,0))="","(not assigned)",INDEX('HMM Actors'!$B:$B,MATCH(E531,'HMM Actors'!$A:$A,0))),"(not assigned)")</f>
        <v/>
      </c>
      <c r="H531" s="3">
        <f>IFERROR(IF(INDEX('HMM Locations'!$B:$B,MATCH(F531,'HMM Locations'!$A:$A,0))="","(not assigned)",INDEX('HMM Locations'!$B:$B,MATCH(F531,'HMM Locations'!$A:$A,0))),"(not assigned)")</f>
        <v/>
      </c>
      <c r="I531" s="3">
        <f>IFERROR(IF(INDEX('HMM Locations'!$C:$G,MATCH(F531,'HMM Locations'!$A:$A,0),D531)="","(not assigned)",INDEX('HMM Locations'!$C:$G,MATCH(F531,'HMM Locations'!$A:$A,0),D531)),"(not assigned)")</f>
        <v/>
      </c>
      <c r="J531" s="3">
        <f>IF(COUNTIF(G531:I531,"(not assigned)")=0,"Ready","Needs grid entry")</f>
        <v/>
      </c>
      <c r="K531" s="3" t="inlineStr"/>
      <c r="L531" s="3" t="inlineStr">
        <is>
          <t>发烧</t>
        </is>
      </c>
    </row>
    <row r="532" ht="15.75" customHeight="1" s="9">
      <c r="A532" s="7" t="inlineStr">
        <is>
          <t>声</t>
        </is>
      </c>
      <c r="B532" s="7" t="n">
        <v>3</v>
      </c>
      <c r="C532" s="3" t="inlineStr">
        <is>
          <t>shēng</t>
        </is>
      </c>
      <c r="D532" s="3" t="n">
        <v>1</v>
      </c>
      <c r="E532" s="3" t="inlineStr">
        <is>
          <t>SH</t>
        </is>
      </c>
      <c r="F532" s="3" t="inlineStr">
        <is>
          <t>(E)NG</t>
        </is>
      </c>
      <c r="G532" s="3">
        <f>IFERROR(IF(INDEX('HMM Actors'!$B:$B,MATCH(E532,'HMM Actors'!$A:$A,0))="","(not assigned)",INDEX('HMM Actors'!$B:$B,MATCH(E532,'HMM Actors'!$A:$A,0))),"(not assigned)")</f>
        <v/>
      </c>
      <c r="H532" s="3">
        <f>IFERROR(IF(INDEX('HMM Locations'!$B:$B,MATCH(F532,'HMM Locations'!$A:$A,0))="","(not assigned)",INDEX('HMM Locations'!$B:$B,MATCH(F532,'HMM Locations'!$A:$A,0))),"(not assigned)")</f>
        <v/>
      </c>
      <c r="I532" s="3">
        <f>IFERROR(IF(INDEX('HMM Locations'!$C:$G,MATCH(F532,'HMM Locations'!$A:$A,0),D532)="","(not assigned)",INDEX('HMM Locations'!$C:$G,MATCH(F532,'HMM Locations'!$A:$A,0),D532)),"(not assigned)")</f>
        <v/>
      </c>
      <c r="J532" s="3">
        <f>IF(COUNTIF(G532:I532,"(not assigned)")=0,"Ready","Needs grid entry")</f>
        <v/>
      </c>
      <c r="K532" s="3" t="inlineStr"/>
      <c r="L532" s="3" t="inlineStr">
        <is>
          <t>声音</t>
        </is>
      </c>
    </row>
    <row r="533" ht="15.75" customHeight="1" s="9">
      <c r="A533" s="7" t="inlineStr">
        <is>
          <t>实</t>
        </is>
      </c>
      <c r="B533" s="7" t="n">
        <v>3</v>
      </c>
      <c r="C533" s="3" t="inlineStr">
        <is>
          <t>shí</t>
        </is>
      </c>
      <c r="D533" s="3" t="n">
        <v>2</v>
      </c>
      <c r="E533" s="3" t="inlineStr">
        <is>
          <t>SH</t>
        </is>
      </c>
      <c r="F533" s="3" t="inlineStr">
        <is>
          <t>Ø (no final)</t>
        </is>
      </c>
      <c r="G533" s="3">
        <f>IFERROR(IF(INDEX('HMM Actors'!$B:$B,MATCH(E533,'HMM Actors'!$A:$A,0))="","(not assigned)",INDEX('HMM Actors'!$B:$B,MATCH(E533,'HMM Actors'!$A:$A,0))),"(not assigned)")</f>
        <v/>
      </c>
      <c r="H533" s="3">
        <f>IFERROR(IF(INDEX('HMM Locations'!$B:$B,MATCH(F533,'HMM Locations'!$A:$A,0))="","(not assigned)",INDEX('HMM Locations'!$B:$B,MATCH(F533,'HMM Locations'!$A:$A,0))),"(not assigned)")</f>
        <v/>
      </c>
      <c r="I533" s="3">
        <f>IFERROR(IF(INDEX('HMM Locations'!$C:$G,MATCH(F533,'HMM Locations'!$A:$A,0),D533)="","(not assigned)",INDEX('HMM Locations'!$C:$G,MATCH(F533,'HMM Locations'!$A:$A,0),D533)),"(not assigned)")</f>
        <v/>
      </c>
      <c r="J533" s="3">
        <f>IF(COUNTIF(G533:I533,"(not assigned)")=0,"Ready","Needs grid entry")</f>
        <v/>
      </c>
      <c r="K533" s="3" t="inlineStr"/>
      <c r="L533" s="3" t="inlineStr">
        <is>
          <t>其实</t>
        </is>
      </c>
    </row>
    <row r="534" ht="15.75" customHeight="1" s="9">
      <c r="A534" s="7" t="inlineStr">
        <is>
          <t>史</t>
        </is>
      </c>
      <c r="B534" s="7" t="n">
        <v>3</v>
      </c>
      <c r="C534" s="3" t="inlineStr">
        <is>
          <t>shǐ</t>
        </is>
      </c>
      <c r="D534" s="3" t="n">
        <v>3</v>
      </c>
      <c r="E534" s="3" t="inlineStr">
        <is>
          <t>SH</t>
        </is>
      </c>
      <c r="F534" s="3" t="inlineStr">
        <is>
          <t>Ø (no final)</t>
        </is>
      </c>
      <c r="G534" s="3">
        <f>IFERROR(IF(INDEX('HMM Actors'!$B:$B,MATCH(E534,'HMM Actors'!$A:$A,0))="","(not assigned)",INDEX('HMM Actors'!$B:$B,MATCH(E534,'HMM Actors'!$A:$A,0))),"(not assigned)")</f>
        <v/>
      </c>
      <c r="H534" s="3">
        <f>IFERROR(IF(INDEX('HMM Locations'!$B:$B,MATCH(F534,'HMM Locations'!$A:$A,0))="","(not assigned)",INDEX('HMM Locations'!$B:$B,MATCH(F534,'HMM Locations'!$A:$A,0))),"(not assigned)")</f>
        <v/>
      </c>
      <c r="I534" s="3">
        <f>IFERROR(IF(INDEX('HMM Locations'!$C:$G,MATCH(F534,'HMM Locations'!$A:$A,0),D534)="","(not assigned)",INDEX('HMM Locations'!$C:$G,MATCH(F534,'HMM Locations'!$A:$A,0),D534)),"(not assigned)")</f>
        <v/>
      </c>
      <c r="J534" s="3">
        <f>IF(COUNTIF(G534:I534,"(not assigned)")=0,"Ready","Needs grid entry")</f>
        <v/>
      </c>
      <c r="K534" s="3" t="inlineStr"/>
      <c r="L534" s="3" t="inlineStr">
        <is>
          <t>历史</t>
        </is>
      </c>
    </row>
    <row r="535" ht="15.75" customHeight="1" s="9">
      <c r="A535" s="7" t="inlineStr">
        <is>
          <t>世</t>
        </is>
      </c>
      <c r="B535" s="7" t="n">
        <v>3</v>
      </c>
      <c r="C535" s="3" t="inlineStr">
        <is>
          <t>shì</t>
        </is>
      </c>
      <c r="D535" s="3" t="n">
        <v>4</v>
      </c>
      <c r="E535" s="3" t="inlineStr">
        <is>
          <t>SH</t>
        </is>
      </c>
      <c r="F535" s="3" t="inlineStr">
        <is>
          <t>Ø (no final)</t>
        </is>
      </c>
      <c r="G535" s="3">
        <f>IFERROR(IF(INDEX('HMM Actors'!$B:$B,MATCH(E535,'HMM Actors'!$A:$A,0))="","(not assigned)",INDEX('HMM Actors'!$B:$B,MATCH(E535,'HMM Actors'!$A:$A,0))),"(not assigned)")</f>
        <v/>
      </c>
      <c r="H535" s="3">
        <f>IFERROR(IF(INDEX('HMM Locations'!$B:$B,MATCH(F535,'HMM Locations'!$A:$A,0))="","(not assigned)",INDEX('HMM Locations'!$B:$B,MATCH(F535,'HMM Locations'!$A:$A,0))),"(not assigned)")</f>
        <v/>
      </c>
      <c r="I535" s="3">
        <f>IFERROR(IF(INDEX('HMM Locations'!$C:$G,MATCH(F535,'HMM Locations'!$A:$A,0),D535)="","(not assigned)",INDEX('HMM Locations'!$C:$G,MATCH(F535,'HMM Locations'!$A:$A,0),D535)),"(not assigned)")</f>
        <v/>
      </c>
      <c r="J535" s="3">
        <f>IF(COUNTIF(G535:I535,"(not assigned)")=0,"Ready","Needs grid entry")</f>
        <v/>
      </c>
      <c r="K535" s="3" t="inlineStr"/>
      <c r="L535" s="3" t="inlineStr">
        <is>
          <t>世界</t>
        </is>
      </c>
    </row>
    <row r="536" ht="15.75" customHeight="1" s="9">
      <c r="A536" s="7" t="inlineStr">
        <is>
          <t>市</t>
        </is>
      </c>
      <c r="B536" s="7" t="n">
        <v>3</v>
      </c>
      <c r="C536" s="3" t="inlineStr">
        <is>
          <t>shì</t>
        </is>
      </c>
      <c r="D536" s="3" t="n">
        <v>4</v>
      </c>
      <c r="E536" s="3" t="inlineStr">
        <is>
          <t>SH</t>
        </is>
      </c>
      <c r="F536" s="3" t="inlineStr">
        <is>
          <t>Ø (no final)</t>
        </is>
      </c>
      <c r="G536" s="3">
        <f>IFERROR(IF(INDEX('HMM Actors'!$B:$B,MATCH(E536,'HMM Actors'!$A:$A,0))="","(not assigned)",INDEX('HMM Actors'!$B:$B,MATCH(E536,'HMM Actors'!$A:$A,0))),"(not assigned)")</f>
        <v/>
      </c>
      <c r="H536" s="3">
        <f>IFERROR(IF(INDEX('HMM Locations'!$B:$B,MATCH(F536,'HMM Locations'!$A:$A,0))="","(not assigned)",INDEX('HMM Locations'!$B:$B,MATCH(F536,'HMM Locations'!$A:$A,0))),"(not assigned)")</f>
        <v/>
      </c>
      <c r="I536" s="3">
        <f>IFERROR(IF(INDEX('HMM Locations'!$C:$G,MATCH(F536,'HMM Locations'!$A:$A,0),D536)="","(not assigned)",INDEX('HMM Locations'!$C:$G,MATCH(F536,'HMM Locations'!$A:$A,0),D536)),"(not assigned)")</f>
        <v/>
      </c>
      <c r="J536" s="3">
        <f>IF(COUNTIF(G536:I536,"(not assigned)")=0,"Ready","Needs grid entry")</f>
        <v/>
      </c>
      <c r="K536" s="3" t="inlineStr"/>
      <c r="L536" s="3" t="inlineStr">
        <is>
          <t>超市、城市</t>
        </is>
      </c>
    </row>
    <row r="537" ht="15.75" customHeight="1" s="9">
      <c r="A537" s="7" t="inlineStr">
        <is>
          <t>瘦</t>
        </is>
      </c>
      <c r="B537" s="7" t="n">
        <v>3</v>
      </c>
      <c r="C537" s="3" t="inlineStr">
        <is>
          <t>shòu</t>
        </is>
      </c>
      <c r="D537" s="3" t="n">
        <v>4</v>
      </c>
      <c r="E537" s="3" t="inlineStr">
        <is>
          <t>SH</t>
        </is>
      </c>
      <c r="F537" s="3" t="inlineStr">
        <is>
          <t>OU</t>
        </is>
      </c>
      <c r="G537" s="3">
        <f>IFERROR(IF(INDEX('HMM Actors'!$B:$B,MATCH(E537,'HMM Actors'!$A:$A,0))="","(not assigned)",INDEX('HMM Actors'!$B:$B,MATCH(E537,'HMM Actors'!$A:$A,0))),"(not assigned)")</f>
        <v/>
      </c>
      <c r="H537" s="3">
        <f>IFERROR(IF(INDEX('HMM Locations'!$B:$B,MATCH(F537,'HMM Locations'!$A:$A,0))="","(not assigned)",INDEX('HMM Locations'!$B:$B,MATCH(F537,'HMM Locations'!$A:$A,0))),"(not assigned)")</f>
        <v/>
      </c>
      <c r="I537" s="3">
        <f>IFERROR(IF(INDEX('HMM Locations'!$C:$G,MATCH(F537,'HMM Locations'!$A:$A,0),D537)="","(not assigned)",INDEX('HMM Locations'!$C:$G,MATCH(F537,'HMM Locations'!$A:$A,0),D537)),"(not assigned)")</f>
        <v/>
      </c>
      <c r="J537" s="3">
        <f>IF(COUNTIF(G537:I537,"(not assigned)")=0,"Ready","Needs grid entry")</f>
        <v/>
      </c>
      <c r="K537" s="3" t="inlineStr"/>
      <c r="L537" s="3" t="inlineStr">
        <is>
          <t>瘦</t>
        </is>
      </c>
    </row>
    <row r="538" ht="15.75" customHeight="1" s="9">
      <c r="A538" s="7" t="inlineStr">
        <is>
          <t>叔</t>
        </is>
      </c>
      <c r="B538" s="7" t="n">
        <v>3</v>
      </c>
      <c r="C538" s="3" t="inlineStr">
        <is>
          <t>shū</t>
        </is>
      </c>
      <c r="D538" s="3" t="n">
        <v>1</v>
      </c>
      <c r="E538" s="3" t="inlineStr">
        <is>
          <t>SH</t>
        </is>
      </c>
      <c r="F538" s="3" t="inlineStr">
        <is>
          <t>U</t>
        </is>
      </c>
      <c r="G538" s="3">
        <f>IFERROR(IF(INDEX('HMM Actors'!$B:$B,MATCH(E538,'HMM Actors'!$A:$A,0))="","(not assigned)",INDEX('HMM Actors'!$B:$B,MATCH(E538,'HMM Actors'!$A:$A,0))),"(not assigned)")</f>
        <v/>
      </c>
      <c r="H538" s="3">
        <f>IFERROR(IF(INDEX('HMM Locations'!$B:$B,MATCH(F538,'HMM Locations'!$A:$A,0))="","(not assigned)",INDEX('HMM Locations'!$B:$B,MATCH(F538,'HMM Locations'!$A:$A,0))),"(not assigned)")</f>
        <v/>
      </c>
      <c r="I538" s="3">
        <f>IFERROR(IF(INDEX('HMM Locations'!$C:$G,MATCH(F538,'HMM Locations'!$A:$A,0),D538)="","(not assigned)",INDEX('HMM Locations'!$C:$G,MATCH(F538,'HMM Locations'!$A:$A,0),D538)),"(not assigned)")</f>
        <v/>
      </c>
      <c r="J538" s="3">
        <f>IF(COUNTIF(G538:I538,"(not assigned)")=0,"Ready","Needs grid entry")</f>
        <v/>
      </c>
      <c r="K538" s="3" t="inlineStr"/>
      <c r="L538" s="3" t="inlineStr">
        <is>
          <t>叔叔</t>
        </is>
      </c>
    </row>
    <row r="539" ht="15.75" customHeight="1" s="9">
      <c r="A539" s="7" t="inlineStr">
        <is>
          <t>舒</t>
        </is>
      </c>
      <c r="B539" s="7" t="n">
        <v>3</v>
      </c>
      <c r="C539" s="3" t="inlineStr">
        <is>
          <t>shū</t>
        </is>
      </c>
      <c r="D539" s="3" t="n">
        <v>1</v>
      </c>
      <c r="E539" s="3" t="inlineStr">
        <is>
          <t>SH</t>
        </is>
      </c>
      <c r="F539" s="3" t="inlineStr">
        <is>
          <t>U</t>
        </is>
      </c>
      <c r="G539" s="3">
        <f>IFERROR(IF(INDEX('HMM Actors'!$B:$B,MATCH(E539,'HMM Actors'!$A:$A,0))="","(not assigned)",INDEX('HMM Actors'!$B:$B,MATCH(E539,'HMM Actors'!$A:$A,0))),"(not assigned)")</f>
        <v/>
      </c>
      <c r="H539" s="3">
        <f>IFERROR(IF(INDEX('HMM Locations'!$B:$B,MATCH(F539,'HMM Locations'!$A:$A,0))="","(not assigned)",INDEX('HMM Locations'!$B:$B,MATCH(F539,'HMM Locations'!$A:$A,0))),"(not assigned)")</f>
        <v/>
      </c>
      <c r="I539" s="3">
        <f>IFERROR(IF(INDEX('HMM Locations'!$C:$G,MATCH(F539,'HMM Locations'!$A:$A,0),D539)="","(not assigned)",INDEX('HMM Locations'!$C:$G,MATCH(F539,'HMM Locations'!$A:$A,0),D539)),"(not assigned)")</f>
        <v/>
      </c>
      <c r="J539" s="3">
        <f>IF(COUNTIF(G539:I539,"(not assigned)")=0,"Ready","Needs grid entry")</f>
        <v/>
      </c>
      <c r="K539" s="3" t="inlineStr"/>
      <c r="L539" s="3" t="inlineStr">
        <is>
          <t>舒服</t>
        </is>
      </c>
    </row>
    <row r="540" ht="15.75" customHeight="1" s="9">
      <c r="A540" s="7" t="inlineStr">
        <is>
          <t>束</t>
        </is>
      </c>
      <c r="B540" s="7" t="n">
        <v>3</v>
      </c>
      <c r="C540" s="3" t="inlineStr">
        <is>
          <t>shù</t>
        </is>
      </c>
      <c r="D540" s="3" t="n">
        <v>4</v>
      </c>
      <c r="E540" s="3" t="inlineStr">
        <is>
          <t>SH</t>
        </is>
      </c>
      <c r="F540" s="3" t="inlineStr">
        <is>
          <t>U</t>
        </is>
      </c>
      <c r="G540" s="3">
        <f>IFERROR(IF(INDEX('HMM Actors'!$B:$B,MATCH(E540,'HMM Actors'!$A:$A,0))="","(not assigned)",INDEX('HMM Actors'!$B:$B,MATCH(E540,'HMM Actors'!$A:$A,0))),"(not assigned)")</f>
        <v/>
      </c>
      <c r="H540" s="3">
        <f>IFERROR(IF(INDEX('HMM Locations'!$B:$B,MATCH(F540,'HMM Locations'!$A:$A,0))="","(not assigned)",INDEX('HMM Locations'!$B:$B,MATCH(F540,'HMM Locations'!$A:$A,0))),"(not assigned)")</f>
        <v/>
      </c>
      <c r="I540" s="3">
        <f>IFERROR(IF(INDEX('HMM Locations'!$C:$G,MATCH(F540,'HMM Locations'!$A:$A,0),D540)="","(not assigned)",INDEX('HMM Locations'!$C:$G,MATCH(F540,'HMM Locations'!$A:$A,0),D540)),"(not assigned)")</f>
        <v/>
      </c>
      <c r="J540" s="3">
        <f>IF(COUNTIF(G540:I540,"(not assigned)")=0,"Ready","Needs grid entry")</f>
        <v/>
      </c>
      <c r="K540" s="3" t="inlineStr"/>
      <c r="L540" s="3" t="inlineStr">
        <is>
          <t>结束</t>
        </is>
      </c>
    </row>
    <row r="541" ht="15.75" customHeight="1" s="9">
      <c r="A541" s="7" t="inlineStr">
        <is>
          <t>树</t>
        </is>
      </c>
      <c r="B541" s="7" t="n">
        <v>3</v>
      </c>
      <c r="C541" s="3" t="inlineStr">
        <is>
          <t>shù</t>
        </is>
      </c>
      <c r="D541" s="3" t="n">
        <v>4</v>
      </c>
      <c r="E541" s="3" t="inlineStr">
        <is>
          <t>SH</t>
        </is>
      </c>
      <c r="F541" s="3" t="inlineStr">
        <is>
          <t>U</t>
        </is>
      </c>
      <c r="G541" s="3">
        <f>IFERROR(IF(INDEX('HMM Actors'!$B:$B,MATCH(E541,'HMM Actors'!$A:$A,0))="","(not assigned)",INDEX('HMM Actors'!$B:$B,MATCH(E541,'HMM Actors'!$A:$A,0))),"(not assigned)")</f>
        <v/>
      </c>
      <c r="H541" s="3">
        <f>IFERROR(IF(INDEX('HMM Locations'!$B:$B,MATCH(F541,'HMM Locations'!$A:$A,0))="","(not assigned)",INDEX('HMM Locations'!$B:$B,MATCH(F541,'HMM Locations'!$A:$A,0))),"(not assigned)")</f>
        <v/>
      </c>
      <c r="I541" s="3">
        <f>IFERROR(IF(INDEX('HMM Locations'!$C:$G,MATCH(F541,'HMM Locations'!$A:$A,0),D541)="","(not assigned)",INDEX('HMM Locations'!$C:$G,MATCH(F541,'HMM Locations'!$A:$A,0),D541)),"(not assigned)")</f>
        <v/>
      </c>
      <c r="J541" s="3">
        <f>IF(COUNTIF(G541:I541,"(not assigned)")=0,"Ready","Needs grid entry")</f>
        <v/>
      </c>
      <c r="K541" s="3" t="inlineStr"/>
      <c r="L541" s="3" t="inlineStr">
        <is>
          <t>树</t>
        </is>
      </c>
    </row>
    <row r="542" ht="15.75" customHeight="1" s="9">
      <c r="A542" s="7" t="inlineStr">
        <is>
          <t>数</t>
        </is>
      </c>
      <c r="B542" s="7" t="n">
        <v>3</v>
      </c>
      <c r="C542" s="3" t="inlineStr">
        <is>
          <t>shù</t>
        </is>
      </c>
      <c r="D542" s="3" t="n">
        <v>4</v>
      </c>
      <c r="E542" s="3" t="inlineStr">
        <is>
          <t>SH</t>
        </is>
      </c>
      <c r="F542" s="3" t="inlineStr">
        <is>
          <t>U</t>
        </is>
      </c>
      <c r="G542" s="3">
        <f>IFERROR(IF(INDEX('HMM Actors'!$B:$B,MATCH(E542,'HMM Actors'!$A:$A,0))="","(not assigned)",INDEX('HMM Actors'!$B:$B,MATCH(E542,'HMM Actors'!$A:$A,0))),"(not assigned)")</f>
        <v/>
      </c>
      <c r="H542" s="3">
        <f>IFERROR(IF(INDEX('HMM Locations'!$B:$B,MATCH(F542,'HMM Locations'!$A:$A,0))="","(not assigned)",INDEX('HMM Locations'!$B:$B,MATCH(F542,'HMM Locations'!$A:$A,0))),"(not assigned)")</f>
        <v/>
      </c>
      <c r="I542" s="3">
        <f>IFERROR(IF(INDEX('HMM Locations'!$C:$G,MATCH(F542,'HMM Locations'!$A:$A,0),D542)="","(not assigned)",INDEX('HMM Locations'!$C:$G,MATCH(F542,'HMM Locations'!$A:$A,0),D542)),"(not assigned)")</f>
        <v/>
      </c>
      <c r="J542" s="3">
        <f>IF(COUNTIF(G542:I542,"(not assigned)")=0,"Ready","Needs grid entry")</f>
        <v/>
      </c>
      <c r="K542" s="3" t="inlineStr"/>
      <c r="L542" s="3" t="inlineStr">
        <is>
          <t>数学</t>
        </is>
      </c>
    </row>
    <row r="543" ht="15.75" customHeight="1" s="9">
      <c r="A543" s="7" t="inlineStr">
        <is>
          <t>刷</t>
        </is>
      </c>
      <c r="B543" s="7" t="n">
        <v>3</v>
      </c>
      <c r="C543" s="3" t="inlineStr">
        <is>
          <t>shuā</t>
        </is>
      </c>
      <c r="D543" s="3" t="n">
        <v>1</v>
      </c>
      <c r="E543" s="3" t="inlineStr">
        <is>
          <t>SH</t>
        </is>
      </c>
      <c r="F543" s="3" t="inlineStr">
        <is>
          <t>UA</t>
        </is>
      </c>
      <c r="G543" s="3">
        <f>IFERROR(IF(INDEX('HMM Actors'!$B:$B,MATCH(E543,'HMM Actors'!$A:$A,0))="","(not assigned)",INDEX('HMM Actors'!$B:$B,MATCH(E543,'HMM Actors'!$A:$A,0))),"(not assigned)")</f>
        <v/>
      </c>
      <c r="H543" s="3">
        <f>IFERROR(IF(INDEX('HMM Locations'!$B:$B,MATCH(F543,'HMM Locations'!$A:$A,0))="","(not assigned)",INDEX('HMM Locations'!$B:$B,MATCH(F543,'HMM Locations'!$A:$A,0))),"(not assigned)")</f>
        <v/>
      </c>
      <c r="I543" s="3">
        <f>IFERROR(IF(INDEX('HMM Locations'!$C:$G,MATCH(F543,'HMM Locations'!$A:$A,0),D543)="","(not assigned)",INDEX('HMM Locations'!$C:$G,MATCH(F543,'HMM Locations'!$A:$A,0),D543)),"(not assigned)")</f>
        <v/>
      </c>
      <c r="J543" s="3">
        <f>IF(COUNTIF(G543:I543,"(not assigned)")=0,"Ready","Needs grid entry")</f>
        <v/>
      </c>
      <c r="K543" s="3" t="inlineStr"/>
      <c r="L543" s="3" t="inlineStr">
        <is>
          <t>刷牙</t>
        </is>
      </c>
    </row>
    <row r="544" ht="15.75" customHeight="1" s="9">
      <c r="A544" s="7" t="inlineStr">
        <is>
          <t>双</t>
        </is>
      </c>
      <c r="B544" s="7" t="n">
        <v>3</v>
      </c>
      <c r="C544" s="3" t="inlineStr">
        <is>
          <t>shuāng</t>
        </is>
      </c>
      <c r="D544" s="3" t="n">
        <v>1</v>
      </c>
      <c r="E544" s="3" t="inlineStr">
        <is>
          <t>SH</t>
        </is>
      </c>
      <c r="F544" s="3" t="inlineStr">
        <is>
          <t>UANG</t>
        </is>
      </c>
      <c r="G544" s="3">
        <f>IFERROR(IF(INDEX('HMM Actors'!$B:$B,MATCH(E544,'HMM Actors'!$A:$A,0))="","(not assigned)",INDEX('HMM Actors'!$B:$B,MATCH(E544,'HMM Actors'!$A:$A,0))),"(not assigned)")</f>
        <v/>
      </c>
      <c r="H544" s="3">
        <f>IFERROR(IF(INDEX('HMM Locations'!$B:$B,MATCH(F544,'HMM Locations'!$A:$A,0))="","(not assigned)",INDEX('HMM Locations'!$B:$B,MATCH(F544,'HMM Locations'!$A:$A,0))),"(not assigned)")</f>
        <v/>
      </c>
      <c r="I544" s="3">
        <f>IFERROR(IF(INDEX('HMM Locations'!$C:$G,MATCH(F544,'HMM Locations'!$A:$A,0),D544)="","(not assigned)",INDEX('HMM Locations'!$C:$G,MATCH(F544,'HMM Locations'!$A:$A,0),D544)),"(not assigned)")</f>
        <v/>
      </c>
      <c r="J544" s="3">
        <f>IF(COUNTIF(G544:I544,"(not assigned)")=0,"Ready","Needs grid entry")</f>
        <v/>
      </c>
      <c r="K544" s="3" t="inlineStr"/>
      <c r="L544" s="3" t="inlineStr">
        <is>
          <t>双</t>
        </is>
      </c>
    </row>
    <row r="545" ht="15.75" customHeight="1" s="9">
      <c r="A545" s="7" t="inlineStr">
        <is>
          <t>算</t>
        </is>
      </c>
      <c r="B545" s="7" t="n">
        <v>3</v>
      </c>
      <c r="C545" s="3" t="inlineStr">
        <is>
          <t>suàn</t>
        </is>
      </c>
      <c r="D545" s="3" t="n">
        <v>4</v>
      </c>
      <c r="E545" s="3" t="inlineStr">
        <is>
          <t>S</t>
        </is>
      </c>
      <c r="F545" s="3" t="inlineStr">
        <is>
          <t>UAN (14th, Jacob-specific)</t>
        </is>
      </c>
      <c r="G545" s="3">
        <f>IFERROR(IF(INDEX('HMM Actors'!$B:$B,MATCH(E545,'HMM Actors'!$A:$A,0))="","(not assigned)",INDEX('HMM Actors'!$B:$B,MATCH(E545,'HMM Actors'!$A:$A,0))),"(not assigned)")</f>
        <v/>
      </c>
      <c r="H545" s="3">
        <f>IFERROR(IF(INDEX('HMM Locations'!$B:$B,MATCH(F545,'HMM Locations'!$A:$A,0))="","(not assigned)",INDEX('HMM Locations'!$B:$B,MATCH(F545,'HMM Locations'!$A:$A,0))),"(not assigned)")</f>
        <v/>
      </c>
      <c r="I545" s="3">
        <f>IFERROR(IF(INDEX('HMM Locations'!$C:$G,MATCH(F545,'HMM Locations'!$A:$A,0),D545)="","(not assigned)",INDEX('HMM Locations'!$C:$G,MATCH(F545,'HMM Locations'!$A:$A,0),D545)),"(not assigned)")</f>
        <v/>
      </c>
      <c r="J545" s="3">
        <f>IF(COUNTIF(G545:I545,"(not assigned)")=0,"Ready","Needs grid entry")</f>
        <v/>
      </c>
      <c r="K545" s="3" t="inlineStr"/>
      <c r="L545" s="3" t="inlineStr">
        <is>
          <t>打算</t>
        </is>
      </c>
    </row>
    <row r="546" ht="15.75" customHeight="1" s="9">
      <c r="A546" s="7" t="inlineStr">
        <is>
          <t>特</t>
        </is>
      </c>
      <c r="B546" s="7" t="n">
        <v>3</v>
      </c>
      <c r="C546" s="3" t="inlineStr">
        <is>
          <t>tè</t>
        </is>
      </c>
      <c r="D546" s="3" t="n">
        <v>4</v>
      </c>
      <c r="E546" s="3" t="inlineStr">
        <is>
          <t>T</t>
        </is>
      </c>
      <c r="F546" s="3" t="inlineStr">
        <is>
          <t>E</t>
        </is>
      </c>
      <c r="G546" s="3">
        <f>IFERROR(IF(INDEX('HMM Actors'!$B:$B,MATCH(E546,'HMM Actors'!$A:$A,0))="","(not assigned)",INDEX('HMM Actors'!$B:$B,MATCH(E546,'HMM Actors'!$A:$A,0))),"(not assigned)")</f>
        <v/>
      </c>
      <c r="H546" s="3">
        <f>IFERROR(IF(INDEX('HMM Locations'!$B:$B,MATCH(F546,'HMM Locations'!$A:$A,0))="","(not assigned)",INDEX('HMM Locations'!$B:$B,MATCH(F546,'HMM Locations'!$A:$A,0))),"(not assigned)")</f>
        <v/>
      </c>
      <c r="I546" s="3">
        <f>IFERROR(IF(INDEX('HMM Locations'!$C:$G,MATCH(F546,'HMM Locations'!$A:$A,0),D546)="","(not assigned)",INDEX('HMM Locations'!$C:$G,MATCH(F546,'HMM Locations'!$A:$A,0),D546)),"(not assigned)")</f>
        <v/>
      </c>
      <c r="J546" s="3">
        <f>IF(COUNTIF(G546:I546,"(not assigned)")=0,"Ready","Needs grid entry")</f>
        <v/>
      </c>
      <c r="K546" s="3" t="inlineStr"/>
      <c r="L546" s="3" t="inlineStr">
        <is>
          <t>特别</t>
        </is>
      </c>
    </row>
    <row r="547" ht="15.75" customHeight="1" s="9">
      <c r="A547" s="7" t="inlineStr">
        <is>
          <t>疼</t>
        </is>
      </c>
      <c r="B547" s="7" t="n">
        <v>3</v>
      </c>
      <c r="C547" s="3" t="inlineStr">
        <is>
          <t>téng</t>
        </is>
      </c>
      <c r="D547" s="3" t="n">
        <v>2</v>
      </c>
      <c r="E547" s="3" t="inlineStr">
        <is>
          <t>T</t>
        </is>
      </c>
      <c r="F547" s="3" t="inlineStr">
        <is>
          <t>(E)NG</t>
        </is>
      </c>
      <c r="G547" s="3">
        <f>IFERROR(IF(INDEX('HMM Actors'!$B:$B,MATCH(E547,'HMM Actors'!$A:$A,0))="","(not assigned)",INDEX('HMM Actors'!$B:$B,MATCH(E547,'HMM Actors'!$A:$A,0))),"(not assigned)")</f>
        <v/>
      </c>
      <c r="H547" s="3">
        <f>IFERROR(IF(INDEX('HMM Locations'!$B:$B,MATCH(F547,'HMM Locations'!$A:$A,0))="","(not assigned)",INDEX('HMM Locations'!$B:$B,MATCH(F547,'HMM Locations'!$A:$A,0))),"(not assigned)")</f>
        <v/>
      </c>
      <c r="I547" s="3">
        <f>IFERROR(IF(INDEX('HMM Locations'!$C:$G,MATCH(F547,'HMM Locations'!$A:$A,0),D547)="","(not assigned)",INDEX('HMM Locations'!$C:$G,MATCH(F547,'HMM Locations'!$A:$A,0),D547)),"(not assigned)")</f>
        <v/>
      </c>
      <c r="J547" s="3">
        <f>IF(COUNTIF(G547:I547,"(not assigned)")=0,"Ready","Needs grid entry")</f>
        <v/>
      </c>
      <c r="K547" s="3" t="inlineStr"/>
      <c r="L547" s="3" t="inlineStr">
        <is>
          <t>疼</t>
        </is>
      </c>
    </row>
    <row r="548" ht="15.75" customHeight="1" s="9">
      <c r="A548" s="7" t="inlineStr">
        <is>
          <t>梯</t>
        </is>
      </c>
      <c r="B548" s="7" t="n">
        <v>3</v>
      </c>
      <c r="C548" s="3" t="inlineStr">
        <is>
          <t>tī</t>
        </is>
      </c>
      <c r="D548" s="3" t="n">
        <v>1</v>
      </c>
      <c r="E548" s="3" t="inlineStr">
        <is>
          <t>T</t>
        </is>
      </c>
      <c r="F548" s="3" t="inlineStr">
        <is>
          <t>I</t>
        </is>
      </c>
      <c r="G548" s="3">
        <f>IFERROR(IF(INDEX('HMM Actors'!$B:$B,MATCH(E548,'HMM Actors'!$A:$A,0))="","(not assigned)",INDEX('HMM Actors'!$B:$B,MATCH(E548,'HMM Actors'!$A:$A,0))),"(not assigned)")</f>
        <v/>
      </c>
      <c r="H548" s="3">
        <f>IFERROR(IF(INDEX('HMM Locations'!$B:$B,MATCH(F548,'HMM Locations'!$A:$A,0))="","(not assigned)",INDEX('HMM Locations'!$B:$B,MATCH(F548,'HMM Locations'!$A:$A,0))),"(not assigned)")</f>
        <v/>
      </c>
      <c r="I548" s="3">
        <f>IFERROR(IF(INDEX('HMM Locations'!$C:$G,MATCH(F548,'HMM Locations'!$A:$A,0),D548)="","(not assigned)",INDEX('HMM Locations'!$C:$G,MATCH(F548,'HMM Locations'!$A:$A,0),D548)),"(not assigned)")</f>
        <v/>
      </c>
      <c r="J548" s="3">
        <f>IF(COUNTIF(G548:I548,"(not assigned)")=0,"Ready","Needs grid entry")</f>
        <v/>
      </c>
      <c r="K548" s="3" t="inlineStr"/>
      <c r="L548" s="3" t="inlineStr">
        <is>
          <t>电梯</t>
        </is>
      </c>
    </row>
    <row r="549" ht="15.75" customHeight="1" s="9">
      <c r="A549" s="7" t="inlineStr">
        <is>
          <t>提</t>
        </is>
      </c>
      <c r="B549" s="7" t="n">
        <v>3</v>
      </c>
      <c r="C549" s="3" t="inlineStr">
        <is>
          <t>tí</t>
        </is>
      </c>
      <c r="D549" s="3" t="n">
        <v>2</v>
      </c>
      <c r="E549" s="3" t="inlineStr">
        <is>
          <t>T</t>
        </is>
      </c>
      <c r="F549" s="3" t="inlineStr">
        <is>
          <t>I</t>
        </is>
      </c>
      <c r="G549" s="3">
        <f>IFERROR(IF(INDEX('HMM Actors'!$B:$B,MATCH(E549,'HMM Actors'!$A:$A,0))="","(not assigned)",INDEX('HMM Actors'!$B:$B,MATCH(E549,'HMM Actors'!$A:$A,0))),"(not assigned)")</f>
        <v/>
      </c>
      <c r="H549" s="3">
        <f>IFERROR(IF(INDEX('HMM Locations'!$B:$B,MATCH(F549,'HMM Locations'!$A:$A,0))="","(not assigned)",INDEX('HMM Locations'!$B:$B,MATCH(F549,'HMM Locations'!$A:$A,0))),"(not assigned)")</f>
        <v/>
      </c>
      <c r="I549" s="3">
        <f>IFERROR(IF(INDEX('HMM Locations'!$C:$G,MATCH(F549,'HMM Locations'!$A:$A,0),D549)="","(not assigned)",INDEX('HMM Locations'!$C:$G,MATCH(F549,'HMM Locations'!$A:$A,0),D549)),"(not assigned)")</f>
        <v/>
      </c>
      <c r="J549" s="3">
        <f>IF(COUNTIF(G549:I549,"(not assigned)")=0,"Ready","Needs grid entry")</f>
        <v/>
      </c>
      <c r="K549" s="3" t="inlineStr"/>
      <c r="L549" s="3" t="inlineStr">
        <is>
          <t>提高</t>
        </is>
      </c>
    </row>
    <row r="550" ht="15.75" customHeight="1" s="9">
      <c r="A550" s="7" t="inlineStr">
        <is>
          <t>甜</t>
        </is>
      </c>
      <c r="B550" s="7" t="n">
        <v>3</v>
      </c>
      <c r="C550" s="3" t="inlineStr">
        <is>
          <t>tián</t>
        </is>
      </c>
      <c r="D550" s="3" t="n">
        <v>2</v>
      </c>
      <c r="E550" s="3" t="inlineStr">
        <is>
          <t>T</t>
        </is>
      </c>
      <c r="F550" s="3" t="inlineStr">
        <is>
          <t>IAN</t>
        </is>
      </c>
      <c r="G550" s="3">
        <f>IFERROR(IF(INDEX('HMM Actors'!$B:$B,MATCH(E550,'HMM Actors'!$A:$A,0))="","(not assigned)",INDEX('HMM Actors'!$B:$B,MATCH(E550,'HMM Actors'!$A:$A,0))),"(not assigned)")</f>
        <v/>
      </c>
      <c r="H550" s="3">
        <f>IFERROR(IF(INDEX('HMM Locations'!$B:$B,MATCH(F550,'HMM Locations'!$A:$A,0))="","(not assigned)",INDEX('HMM Locations'!$B:$B,MATCH(F550,'HMM Locations'!$A:$A,0))),"(not assigned)")</f>
        <v/>
      </c>
      <c r="I550" s="3">
        <f>IFERROR(IF(INDEX('HMM Locations'!$C:$G,MATCH(F550,'HMM Locations'!$A:$A,0),D550)="","(not assigned)",INDEX('HMM Locations'!$C:$G,MATCH(F550,'HMM Locations'!$A:$A,0),D550)),"(not assigned)")</f>
        <v/>
      </c>
      <c r="J550" s="3">
        <f>IF(COUNTIF(G550:I550,"(not assigned)")=0,"Ready","Needs grid entry")</f>
        <v/>
      </c>
      <c r="K550" s="3" t="inlineStr"/>
      <c r="L550" s="3" t="inlineStr">
        <is>
          <t>甜</t>
        </is>
      </c>
    </row>
    <row r="551" ht="15.75" customHeight="1" s="9">
      <c r="A551" s="7" t="inlineStr">
        <is>
          <t>铁</t>
        </is>
      </c>
      <c r="B551" s="7" t="n">
        <v>3</v>
      </c>
      <c r="C551" s="3" t="inlineStr">
        <is>
          <t>tiě</t>
        </is>
      </c>
      <c r="D551" s="3" t="n">
        <v>3</v>
      </c>
      <c r="E551" s="3" t="inlineStr">
        <is>
          <t>T</t>
        </is>
      </c>
      <c r="F551" s="3" t="inlineStr">
        <is>
          <t>IE</t>
        </is>
      </c>
      <c r="G551" s="3">
        <f>IFERROR(IF(INDEX('HMM Actors'!$B:$B,MATCH(E551,'HMM Actors'!$A:$A,0))="","(not assigned)",INDEX('HMM Actors'!$B:$B,MATCH(E551,'HMM Actors'!$A:$A,0))),"(not assigned)")</f>
        <v/>
      </c>
      <c r="H551" s="3">
        <f>IFERROR(IF(INDEX('HMM Locations'!$B:$B,MATCH(F551,'HMM Locations'!$A:$A,0))="","(not assigned)",INDEX('HMM Locations'!$B:$B,MATCH(F551,'HMM Locations'!$A:$A,0))),"(not assigned)")</f>
        <v/>
      </c>
      <c r="I551" s="3">
        <f>IFERROR(IF(INDEX('HMM Locations'!$C:$G,MATCH(F551,'HMM Locations'!$A:$A,0),D551)="","(not assigned)",INDEX('HMM Locations'!$C:$G,MATCH(F551,'HMM Locations'!$A:$A,0),D551)),"(not assigned)")</f>
        <v/>
      </c>
      <c r="J551" s="3">
        <f>IF(COUNTIF(G551:I551,"(not assigned)")=0,"Ready","Needs grid entry")</f>
        <v/>
      </c>
      <c r="K551" s="3" t="inlineStr"/>
      <c r="L551" s="3" t="inlineStr">
        <is>
          <t>地铁</t>
        </is>
      </c>
    </row>
    <row r="552" ht="15.75" customHeight="1" s="9">
      <c r="A552" s="7" t="inlineStr">
        <is>
          <t>头</t>
        </is>
      </c>
      <c r="B552" s="7" t="n">
        <v>3</v>
      </c>
      <c r="C552" s="3" t="inlineStr">
        <is>
          <t>tóu</t>
        </is>
      </c>
      <c r="D552" s="3" t="n">
        <v>2</v>
      </c>
      <c r="E552" s="3" t="inlineStr">
        <is>
          <t>T</t>
        </is>
      </c>
      <c r="F552" s="3" t="inlineStr">
        <is>
          <t>OU</t>
        </is>
      </c>
      <c r="G552" s="3">
        <f>IFERROR(IF(INDEX('HMM Actors'!$B:$B,MATCH(E552,'HMM Actors'!$A:$A,0))="","(not assigned)",INDEX('HMM Actors'!$B:$B,MATCH(E552,'HMM Actors'!$A:$A,0))),"(not assigned)")</f>
        <v/>
      </c>
      <c r="H552" s="3">
        <f>IFERROR(IF(INDEX('HMM Locations'!$B:$B,MATCH(F552,'HMM Locations'!$A:$A,0))="","(not assigned)",INDEX('HMM Locations'!$B:$B,MATCH(F552,'HMM Locations'!$A:$A,0))),"(not assigned)")</f>
        <v/>
      </c>
      <c r="I552" s="3">
        <f>IFERROR(IF(INDEX('HMM Locations'!$C:$G,MATCH(F552,'HMM Locations'!$A:$A,0),D552)="","(not assigned)",INDEX('HMM Locations'!$C:$G,MATCH(F552,'HMM Locations'!$A:$A,0),D552)),"(not assigned)")</f>
        <v/>
      </c>
      <c r="J552" s="3">
        <f>IF(COUNTIF(G552:I552,"(not assigned)")=0,"Ready","Needs grid entry")</f>
        <v/>
      </c>
      <c r="K552" s="3" t="inlineStr"/>
      <c r="L552" s="3" t="inlineStr">
        <is>
          <t>头发</t>
        </is>
      </c>
    </row>
    <row r="553" ht="15.75" customHeight="1" s="9">
      <c r="A553" s="7" t="inlineStr">
        <is>
          <t>突</t>
        </is>
      </c>
      <c r="B553" s="7" t="n">
        <v>3</v>
      </c>
      <c r="C553" s="3" t="inlineStr">
        <is>
          <t>tū</t>
        </is>
      </c>
      <c r="D553" s="3" t="n">
        <v>1</v>
      </c>
      <c r="E553" s="3" t="inlineStr">
        <is>
          <t>T</t>
        </is>
      </c>
      <c r="F553" s="3" t="inlineStr">
        <is>
          <t>U</t>
        </is>
      </c>
      <c r="G553" s="3">
        <f>IFERROR(IF(INDEX('HMM Actors'!$B:$B,MATCH(E553,'HMM Actors'!$A:$A,0))="","(not assigned)",INDEX('HMM Actors'!$B:$B,MATCH(E553,'HMM Actors'!$A:$A,0))),"(not assigned)")</f>
        <v/>
      </c>
      <c r="H553" s="3">
        <f>IFERROR(IF(INDEX('HMM Locations'!$B:$B,MATCH(F553,'HMM Locations'!$A:$A,0))="","(not assigned)",INDEX('HMM Locations'!$B:$B,MATCH(F553,'HMM Locations'!$A:$A,0))),"(not assigned)")</f>
        <v/>
      </c>
      <c r="I553" s="3">
        <f>IFERROR(IF(INDEX('HMM Locations'!$C:$G,MATCH(F553,'HMM Locations'!$A:$A,0),D553)="","(not assigned)",INDEX('HMM Locations'!$C:$G,MATCH(F553,'HMM Locations'!$A:$A,0),D553)),"(not assigned)")</f>
        <v/>
      </c>
      <c r="J553" s="3">
        <f>IF(COUNTIF(G553:I553,"(not assigned)")=0,"Ready","Needs grid entry")</f>
        <v/>
      </c>
      <c r="K553" s="3" t="inlineStr"/>
      <c r="L553" s="3" t="inlineStr">
        <is>
          <t>突然</t>
        </is>
      </c>
    </row>
    <row r="554" ht="15.75" customHeight="1" s="9">
      <c r="A554" s="7" t="inlineStr">
        <is>
          <t>图</t>
        </is>
      </c>
      <c r="B554" s="7" t="n">
        <v>3</v>
      </c>
      <c r="C554" s="3" t="inlineStr">
        <is>
          <t>tú</t>
        </is>
      </c>
      <c r="D554" s="3" t="n">
        <v>2</v>
      </c>
      <c r="E554" s="3" t="inlineStr">
        <is>
          <t>T</t>
        </is>
      </c>
      <c r="F554" s="3" t="inlineStr">
        <is>
          <t>U</t>
        </is>
      </c>
      <c r="G554" s="3">
        <f>IFERROR(IF(INDEX('HMM Actors'!$B:$B,MATCH(E554,'HMM Actors'!$A:$A,0))="","(not assigned)",INDEX('HMM Actors'!$B:$B,MATCH(E554,'HMM Actors'!$A:$A,0))),"(not assigned)")</f>
        <v/>
      </c>
      <c r="H554" s="3">
        <f>IFERROR(IF(INDEX('HMM Locations'!$B:$B,MATCH(F554,'HMM Locations'!$A:$A,0))="","(not assigned)",INDEX('HMM Locations'!$B:$B,MATCH(F554,'HMM Locations'!$A:$A,0))),"(not assigned)")</f>
        <v/>
      </c>
      <c r="I554" s="3">
        <f>IFERROR(IF(INDEX('HMM Locations'!$C:$G,MATCH(F554,'HMM Locations'!$A:$A,0),D554)="","(not assigned)",INDEX('HMM Locations'!$C:$G,MATCH(F554,'HMM Locations'!$A:$A,0),D554)),"(not assigned)")</f>
        <v/>
      </c>
      <c r="J554" s="3">
        <f>IF(COUNTIF(G554:I554,"(not assigned)")=0,"Ready","Needs grid entry")</f>
        <v/>
      </c>
      <c r="K554" s="3" t="inlineStr"/>
      <c r="L554" s="3" t="inlineStr">
        <is>
          <t>地图、图书馆</t>
        </is>
      </c>
    </row>
    <row r="555" ht="15.75" customHeight="1" s="9">
      <c r="A555" s="7" t="inlineStr">
        <is>
          <t>腿</t>
        </is>
      </c>
      <c r="B555" s="7" t="n">
        <v>3</v>
      </c>
      <c r="C555" s="3" t="inlineStr">
        <is>
          <t>tuǐ</t>
        </is>
      </c>
      <c r="D555" s="3" t="n">
        <v>3</v>
      </c>
      <c r="E555" s="3" t="inlineStr">
        <is>
          <t>T</t>
        </is>
      </c>
      <c r="F555" s="3" t="inlineStr">
        <is>
          <t>UI</t>
        </is>
      </c>
      <c r="G555" s="3">
        <f>IFERROR(IF(INDEX('HMM Actors'!$B:$B,MATCH(E555,'HMM Actors'!$A:$A,0))="","(not assigned)",INDEX('HMM Actors'!$B:$B,MATCH(E555,'HMM Actors'!$A:$A,0))),"(not assigned)")</f>
        <v/>
      </c>
      <c r="H555" s="3">
        <f>IFERROR(IF(INDEX('HMM Locations'!$B:$B,MATCH(F555,'HMM Locations'!$A:$A,0))="","(not assigned)",INDEX('HMM Locations'!$B:$B,MATCH(F555,'HMM Locations'!$A:$A,0))),"(not assigned)")</f>
        <v/>
      </c>
      <c r="I555" s="3">
        <f>IFERROR(IF(INDEX('HMM Locations'!$C:$G,MATCH(F555,'HMM Locations'!$A:$A,0),D555)="","(not assigned)",INDEX('HMM Locations'!$C:$G,MATCH(F555,'HMM Locations'!$A:$A,0),D555)),"(not assigned)")</f>
        <v/>
      </c>
      <c r="J555" s="3">
        <f>IF(COUNTIF(G555:I555,"(not assigned)")=0,"Ready","Needs grid entry")</f>
        <v/>
      </c>
      <c r="K555" s="3" t="inlineStr"/>
      <c r="L555" s="3" t="inlineStr">
        <is>
          <t>腿</t>
        </is>
      </c>
    </row>
    <row r="556" ht="15.75" customHeight="1" s="9">
      <c r="A556" s="7" t="inlineStr">
        <is>
          <t>碗</t>
        </is>
      </c>
      <c r="B556" s="7" t="n">
        <v>3</v>
      </c>
      <c r="C556" s="3" t="inlineStr">
        <is>
          <t>wǎn</t>
        </is>
      </c>
      <c r="D556" s="3" t="n">
        <v>3</v>
      </c>
      <c r="E556" s="3" t="inlineStr">
        <is>
          <t>W</t>
        </is>
      </c>
      <c r="F556" s="3" t="inlineStr">
        <is>
          <t>AN</t>
        </is>
      </c>
      <c r="G556" s="3">
        <f>IFERROR(IF(INDEX('HMM Actors'!$B:$B,MATCH(E556,'HMM Actors'!$A:$A,0))="","(not assigned)",INDEX('HMM Actors'!$B:$B,MATCH(E556,'HMM Actors'!$A:$A,0))),"(not assigned)")</f>
        <v/>
      </c>
      <c r="H556" s="3">
        <f>IFERROR(IF(INDEX('HMM Locations'!$B:$B,MATCH(F556,'HMM Locations'!$A:$A,0))="","(not assigned)",INDEX('HMM Locations'!$B:$B,MATCH(F556,'HMM Locations'!$A:$A,0))),"(not assigned)")</f>
        <v/>
      </c>
      <c r="I556" s="3">
        <f>IFERROR(IF(INDEX('HMM Locations'!$C:$G,MATCH(F556,'HMM Locations'!$A:$A,0),D556)="","(not assigned)",INDEX('HMM Locations'!$C:$G,MATCH(F556,'HMM Locations'!$A:$A,0),D556)),"(not assigned)")</f>
        <v/>
      </c>
      <c r="J556" s="3">
        <f>IF(COUNTIF(G556:I556,"(not assigned)")=0,"Ready","Needs grid entry")</f>
        <v/>
      </c>
      <c r="K556" s="3" t="inlineStr"/>
      <c r="L556" s="3" t="inlineStr">
        <is>
          <t>碗</t>
        </is>
      </c>
    </row>
    <row r="557" ht="15.75" customHeight="1" s="9">
      <c r="A557" s="7" t="inlineStr">
        <is>
          <t>万</t>
        </is>
      </c>
      <c r="B557" s="7" t="n">
        <v>3</v>
      </c>
      <c r="C557" s="3" t="inlineStr">
        <is>
          <t>wàn</t>
        </is>
      </c>
      <c r="D557" s="3" t="n">
        <v>4</v>
      </c>
      <c r="E557" s="3" t="inlineStr">
        <is>
          <t>W</t>
        </is>
      </c>
      <c r="F557" s="3" t="inlineStr">
        <is>
          <t>AN</t>
        </is>
      </c>
      <c r="G557" s="3">
        <f>IFERROR(IF(INDEX('HMM Actors'!$B:$B,MATCH(E557,'HMM Actors'!$A:$A,0))="","(not assigned)",INDEX('HMM Actors'!$B:$B,MATCH(E557,'HMM Actors'!$A:$A,0))),"(not assigned)")</f>
        <v/>
      </c>
      <c r="H557" s="3">
        <f>IFERROR(IF(INDEX('HMM Locations'!$B:$B,MATCH(F557,'HMM Locations'!$A:$A,0))="","(not assigned)",INDEX('HMM Locations'!$B:$B,MATCH(F557,'HMM Locations'!$A:$A,0))),"(not assigned)")</f>
        <v/>
      </c>
      <c r="I557" s="3">
        <f>IFERROR(IF(INDEX('HMM Locations'!$C:$G,MATCH(F557,'HMM Locations'!$A:$A,0),D557)="","(not assigned)",INDEX('HMM Locations'!$C:$G,MATCH(F557,'HMM Locations'!$A:$A,0),D557)),"(not assigned)")</f>
        <v/>
      </c>
      <c r="J557" s="3">
        <f>IF(COUNTIF(G557:I557,"(not assigned)")=0,"Ready","Needs grid entry")</f>
        <v/>
      </c>
      <c r="K557" s="3" t="inlineStr"/>
      <c r="L557" s="3" t="inlineStr">
        <is>
          <t>万</t>
        </is>
      </c>
    </row>
    <row r="558" ht="15.75" customHeight="1" s="9">
      <c r="A558" s="7" t="inlineStr">
        <is>
          <t>网</t>
        </is>
      </c>
      <c r="B558" s="7" t="n">
        <v>3</v>
      </c>
      <c r="C558" s="3" t="inlineStr">
        <is>
          <t>wǎng</t>
        </is>
      </c>
      <c r="D558" s="3" t="n">
        <v>3</v>
      </c>
      <c r="E558" s="3" t="inlineStr">
        <is>
          <t>W</t>
        </is>
      </c>
      <c r="F558" s="3" t="inlineStr">
        <is>
          <t>ANG</t>
        </is>
      </c>
      <c r="G558" s="3">
        <f>IFERROR(IF(INDEX('HMM Actors'!$B:$B,MATCH(E558,'HMM Actors'!$A:$A,0))="","(not assigned)",INDEX('HMM Actors'!$B:$B,MATCH(E558,'HMM Actors'!$A:$A,0))),"(not assigned)")</f>
        <v/>
      </c>
      <c r="H558" s="3">
        <f>IFERROR(IF(INDEX('HMM Locations'!$B:$B,MATCH(F558,'HMM Locations'!$A:$A,0))="","(not assigned)",INDEX('HMM Locations'!$B:$B,MATCH(F558,'HMM Locations'!$A:$A,0))),"(not assigned)")</f>
        <v/>
      </c>
      <c r="I558" s="3">
        <f>IFERROR(IF(INDEX('HMM Locations'!$C:$G,MATCH(F558,'HMM Locations'!$A:$A,0),D558)="","(not assigned)",INDEX('HMM Locations'!$C:$G,MATCH(F558,'HMM Locations'!$A:$A,0),D558)),"(not assigned)")</f>
        <v/>
      </c>
      <c r="J558" s="3">
        <f>IF(COUNTIF(G558:I558,"(not assigned)")=0,"Ready","Needs grid entry")</f>
        <v/>
      </c>
      <c r="K558" s="3" t="inlineStr"/>
      <c r="L558" s="3" t="inlineStr">
        <is>
          <t>上网</t>
        </is>
      </c>
    </row>
    <row r="559" ht="15.75" customHeight="1" s="9">
      <c r="A559" s="7" t="inlineStr">
        <is>
          <t>忘</t>
        </is>
      </c>
      <c r="B559" s="7" t="n">
        <v>3</v>
      </c>
      <c r="C559" s="3" t="inlineStr">
        <is>
          <t>wàng</t>
        </is>
      </c>
      <c r="D559" s="3" t="n">
        <v>4</v>
      </c>
      <c r="E559" s="3" t="inlineStr">
        <is>
          <t>W</t>
        </is>
      </c>
      <c r="F559" s="3" t="inlineStr">
        <is>
          <t>ANG</t>
        </is>
      </c>
      <c r="G559" s="3">
        <f>IFERROR(IF(INDEX('HMM Actors'!$B:$B,MATCH(E559,'HMM Actors'!$A:$A,0))="","(not assigned)",INDEX('HMM Actors'!$B:$B,MATCH(E559,'HMM Actors'!$A:$A,0))),"(not assigned)")</f>
        <v/>
      </c>
      <c r="H559" s="3">
        <f>IFERROR(IF(INDEX('HMM Locations'!$B:$B,MATCH(F559,'HMM Locations'!$A:$A,0))="","(not assigned)",INDEX('HMM Locations'!$B:$B,MATCH(F559,'HMM Locations'!$A:$A,0))),"(not assigned)")</f>
        <v/>
      </c>
      <c r="I559" s="3">
        <f>IFERROR(IF(INDEX('HMM Locations'!$C:$G,MATCH(F559,'HMM Locations'!$A:$A,0),D559)="","(not assigned)",INDEX('HMM Locations'!$C:$G,MATCH(F559,'HMM Locations'!$A:$A,0),D559)),"(not assigned)")</f>
        <v/>
      </c>
      <c r="J559" s="3">
        <f>IF(COUNTIF(G559:I559,"(not assigned)")=0,"Ready","Needs grid entry")</f>
        <v/>
      </c>
      <c r="K559" s="3" t="inlineStr"/>
      <c r="L559" s="3" t="inlineStr">
        <is>
          <t>忘记</t>
        </is>
      </c>
    </row>
    <row r="560" ht="15.75" customHeight="1" s="9">
      <c r="A560" s="7" t="inlineStr">
        <is>
          <t>位</t>
        </is>
      </c>
      <c r="B560" s="7" t="n">
        <v>3</v>
      </c>
      <c r="C560" s="3" t="inlineStr">
        <is>
          <t>wèi</t>
        </is>
      </c>
      <c r="D560" s="3" t="n">
        <v>4</v>
      </c>
      <c r="E560" s="3" t="inlineStr">
        <is>
          <t>W</t>
        </is>
      </c>
      <c r="F560" s="3" t="inlineStr">
        <is>
          <t>EI</t>
        </is>
      </c>
      <c r="G560" s="3">
        <f>IFERROR(IF(INDEX('HMM Actors'!$B:$B,MATCH(E560,'HMM Actors'!$A:$A,0))="","(not assigned)",INDEX('HMM Actors'!$B:$B,MATCH(E560,'HMM Actors'!$A:$A,0))),"(not assigned)")</f>
        <v/>
      </c>
      <c r="H560" s="3">
        <f>IFERROR(IF(INDEX('HMM Locations'!$B:$B,MATCH(F560,'HMM Locations'!$A:$A,0))="","(not assigned)",INDEX('HMM Locations'!$B:$B,MATCH(F560,'HMM Locations'!$A:$A,0))),"(not assigned)")</f>
        <v/>
      </c>
      <c r="I560" s="3">
        <f>IFERROR(IF(INDEX('HMM Locations'!$C:$G,MATCH(F560,'HMM Locations'!$A:$A,0),D560)="","(not assigned)",INDEX('HMM Locations'!$C:$G,MATCH(F560,'HMM Locations'!$A:$A,0),D560)),"(not assigned)")</f>
        <v/>
      </c>
      <c r="J560" s="3">
        <f>IF(COUNTIF(G560:I560,"(not assigned)")=0,"Ready","Needs grid entry")</f>
        <v/>
      </c>
      <c r="K560" s="3" t="inlineStr"/>
      <c r="L560" s="3" t="inlineStr">
        <is>
          <t>位</t>
        </is>
      </c>
    </row>
    <row r="561" ht="15.75" customHeight="1" s="9">
      <c r="A561" s="7" t="inlineStr">
        <is>
          <t>文</t>
        </is>
      </c>
      <c r="B561" s="7" t="n">
        <v>3</v>
      </c>
      <c r="C561" s="3" t="inlineStr">
        <is>
          <t>wén</t>
        </is>
      </c>
      <c r="D561" s="3" t="n">
        <v>2</v>
      </c>
      <c r="E561" s="3" t="inlineStr">
        <is>
          <t>W</t>
        </is>
      </c>
      <c r="F561" s="3" t="inlineStr">
        <is>
          <t>(E)N</t>
        </is>
      </c>
      <c r="G561" s="3">
        <f>IFERROR(IF(INDEX('HMM Actors'!$B:$B,MATCH(E561,'HMM Actors'!$A:$A,0))="","(not assigned)",INDEX('HMM Actors'!$B:$B,MATCH(E561,'HMM Actors'!$A:$A,0))),"(not assigned)")</f>
        <v/>
      </c>
      <c r="H561" s="3">
        <f>IFERROR(IF(INDEX('HMM Locations'!$B:$B,MATCH(F561,'HMM Locations'!$A:$A,0))="","(not assigned)",INDEX('HMM Locations'!$B:$B,MATCH(F561,'HMM Locations'!$A:$A,0))),"(not assigned)")</f>
        <v/>
      </c>
      <c r="I561" s="3">
        <f>IFERROR(IF(INDEX('HMM Locations'!$C:$G,MATCH(F561,'HMM Locations'!$A:$A,0),D561)="","(not assigned)",INDEX('HMM Locations'!$C:$G,MATCH(F561,'HMM Locations'!$A:$A,0),D561)),"(not assigned)")</f>
        <v/>
      </c>
      <c r="J561" s="3">
        <f>IF(COUNTIF(G561:I561,"(not assigned)")=0,"Ready","Needs grid entry")</f>
        <v/>
      </c>
      <c r="K561" s="3" t="inlineStr"/>
      <c r="L561" s="3" t="inlineStr">
        <is>
          <t>文化、中文</t>
        </is>
      </c>
    </row>
    <row r="562" ht="15.75" customHeight="1" s="9">
      <c r="A562" s="7" t="inlineStr">
        <is>
          <t>闻</t>
        </is>
      </c>
      <c r="B562" s="7" t="n">
        <v>3</v>
      </c>
      <c r="C562" s="3" t="inlineStr">
        <is>
          <t>wén</t>
        </is>
      </c>
      <c r="D562" s="3" t="n">
        <v>2</v>
      </c>
      <c r="E562" s="3" t="inlineStr">
        <is>
          <t>W</t>
        </is>
      </c>
      <c r="F562" s="3" t="inlineStr">
        <is>
          <t>(E)N</t>
        </is>
      </c>
      <c r="G562" s="3">
        <f>IFERROR(IF(INDEX('HMM Actors'!$B:$B,MATCH(E562,'HMM Actors'!$A:$A,0))="","(not assigned)",INDEX('HMM Actors'!$B:$B,MATCH(E562,'HMM Actors'!$A:$A,0))),"(not assigned)")</f>
        <v/>
      </c>
      <c r="H562" s="3">
        <f>IFERROR(IF(INDEX('HMM Locations'!$B:$B,MATCH(F562,'HMM Locations'!$A:$A,0))="","(not assigned)",INDEX('HMM Locations'!$B:$B,MATCH(F562,'HMM Locations'!$A:$A,0))),"(not assigned)")</f>
        <v/>
      </c>
      <c r="I562" s="3">
        <f>IFERROR(IF(INDEX('HMM Locations'!$C:$G,MATCH(F562,'HMM Locations'!$A:$A,0),D562)="","(not assigned)",INDEX('HMM Locations'!$C:$G,MATCH(F562,'HMM Locations'!$A:$A,0),D562)),"(not assigned)")</f>
        <v/>
      </c>
      <c r="J562" s="3">
        <f>IF(COUNTIF(G562:I562,"(not assigned)")=0,"Ready","Needs grid entry")</f>
        <v/>
      </c>
      <c r="K562" s="3" t="inlineStr"/>
      <c r="L562" s="3" t="inlineStr">
        <is>
          <t>新闻</t>
        </is>
      </c>
    </row>
    <row r="563" ht="15.75" customHeight="1" s="9">
      <c r="A563" s="7" t="inlineStr">
        <is>
          <t>物</t>
        </is>
      </c>
      <c r="B563" s="7" t="n">
        <v>3</v>
      </c>
      <c r="C563" s="3" t="inlineStr">
        <is>
          <t>wù</t>
        </is>
      </c>
      <c r="D563" s="3" t="n">
        <v>4</v>
      </c>
      <c r="E563" s="3" t="inlineStr">
        <is>
          <t>W</t>
        </is>
      </c>
      <c r="F563" s="3" t="inlineStr">
        <is>
          <t>U</t>
        </is>
      </c>
      <c r="G563" s="3">
        <f>IFERROR(IF(INDEX('HMM Actors'!$B:$B,MATCH(E563,'HMM Actors'!$A:$A,0))="","(not assigned)",INDEX('HMM Actors'!$B:$B,MATCH(E563,'HMM Actors'!$A:$A,0))),"(not assigned)")</f>
        <v/>
      </c>
      <c r="H563" s="3">
        <f>IFERROR(IF(INDEX('HMM Locations'!$B:$B,MATCH(F563,'HMM Locations'!$A:$A,0))="","(not assigned)",INDEX('HMM Locations'!$B:$B,MATCH(F563,'HMM Locations'!$A:$A,0))),"(not assigned)")</f>
        <v/>
      </c>
      <c r="I563" s="3">
        <f>IFERROR(IF(INDEX('HMM Locations'!$C:$G,MATCH(F563,'HMM Locations'!$A:$A,0),D563)="","(not assigned)",INDEX('HMM Locations'!$C:$G,MATCH(F563,'HMM Locations'!$A:$A,0),D563)),"(not assigned)")</f>
        <v/>
      </c>
      <c r="J563" s="3">
        <f>IF(COUNTIF(G563:I563,"(not assigned)")=0,"Ready","Needs grid entry")</f>
        <v/>
      </c>
      <c r="K563" s="3" t="inlineStr"/>
      <c r="L563" s="3" t="inlineStr">
        <is>
          <t>动物、礼物</t>
        </is>
      </c>
    </row>
    <row r="564" ht="15.75" customHeight="1" s="9">
      <c r="A564" s="7" t="inlineStr">
        <is>
          <t>戏</t>
        </is>
      </c>
      <c r="B564" s="7" t="n">
        <v>3</v>
      </c>
      <c r="C564" s="3" t="inlineStr">
        <is>
          <t>xì</t>
        </is>
      </c>
      <c r="D564" s="3" t="n">
        <v>4</v>
      </c>
      <c r="E564" s="3" t="inlineStr">
        <is>
          <t>X</t>
        </is>
      </c>
      <c r="F564" s="3" t="inlineStr">
        <is>
          <t>I</t>
        </is>
      </c>
      <c r="G564" s="3">
        <f>IFERROR(IF(INDEX('HMM Actors'!$B:$B,MATCH(E564,'HMM Actors'!$A:$A,0))="","(not assigned)",INDEX('HMM Actors'!$B:$B,MATCH(E564,'HMM Actors'!$A:$A,0))),"(not assigned)")</f>
        <v/>
      </c>
      <c r="H564" s="3">
        <f>IFERROR(IF(INDEX('HMM Locations'!$B:$B,MATCH(F564,'HMM Locations'!$A:$A,0))="","(not assigned)",INDEX('HMM Locations'!$B:$B,MATCH(F564,'HMM Locations'!$A:$A,0))),"(not assigned)")</f>
        <v/>
      </c>
      <c r="I564" s="3">
        <f>IFERROR(IF(INDEX('HMM Locations'!$C:$G,MATCH(F564,'HMM Locations'!$A:$A,0),D564)="","(not assigned)",INDEX('HMM Locations'!$C:$G,MATCH(F564,'HMM Locations'!$A:$A,0),D564)),"(not assigned)")</f>
        <v/>
      </c>
      <c r="J564" s="3">
        <f>IF(COUNTIF(G564:I564,"(not assigned)")=0,"Ready","Needs grid entry")</f>
        <v/>
      </c>
      <c r="K564" s="3" t="inlineStr"/>
      <c r="L564" s="3" t="inlineStr">
        <is>
          <t>游戏</t>
        </is>
      </c>
    </row>
    <row r="565" ht="15.75" customHeight="1" s="9">
      <c r="A565" s="7" t="inlineStr">
        <is>
          <t>夏</t>
        </is>
      </c>
      <c r="B565" s="7" t="n">
        <v>3</v>
      </c>
      <c r="C565" s="3" t="inlineStr">
        <is>
          <t>xià</t>
        </is>
      </c>
      <c r="D565" s="3" t="n">
        <v>4</v>
      </c>
      <c r="E565" s="3" t="inlineStr">
        <is>
          <t>X</t>
        </is>
      </c>
      <c r="F565" s="3" t="inlineStr">
        <is>
          <t>IA</t>
        </is>
      </c>
      <c r="G565" s="3">
        <f>IFERROR(IF(INDEX('HMM Actors'!$B:$B,MATCH(E565,'HMM Actors'!$A:$A,0))="","(not assigned)",INDEX('HMM Actors'!$B:$B,MATCH(E565,'HMM Actors'!$A:$A,0))),"(not assigned)")</f>
        <v/>
      </c>
      <c r="H565" s="3">
        <f>IFERROR(IF(INDEX('HMM Locations'!$B:$B,MATCH(F565,'HMM Locations'!$A:$A,0))="","(not assigned)",INDEX('HMM Locations'!$B:$B,MATCH(F565,'HMM Locations'!$A:$A,0))),"(not assigned)")</f>
        <v/>
      </c>
      <c r="I565" s="3">
        <f>IFERROR(IF(INDEX('HMM Locations'!$C:$G,MATCH(F565,'HMM Locations'!$A:$A,0),D565)="","(not assigned)",INDEX('HMM Locations'!$C:$G,MATCH(F565,'HMM Locations'!$A:$A,0),D565)),"(not assigned)")</f>
        <v/>
      </c>
      <c r="J565" s="3">
        <f>IF(COUNTIF(G565:I565,"(not assigned)")=0,"Ready","Needs grid entry")</f>
        <v/>
      </c>
      <c r="K565" s="3" t="inlineStr"/>
      <c r="L565" s="3" t="inlineStr">
        <is>
          <t>夏</t>
        </is>
      </c>
    </row>
    <row r="566" ht="15.75" customHeight="1" s="9">
      <c r="A566" s="7" t="inlineStr">
        <is>
          <t>鲜</t>
        </is>
      </c>
      <c r="B566" s="7" t="n">
        <v>3</v>
      </c>
      <c r="C566" s="3" t="inlineStr">
        <is>
          <t>xiān</t>
        </is>
      </c>
      <c r="D566" s="3" t="n">
        <v>1</v>
      </c>
      <c r="E566" s="3" t="inlineStr">
        <is>
          <t>X</t>
        </is>
      </c>
      <c r="F566" s="3" t="inlineStr">
        <is>
          <t>IAN</t>
        </is>
      </c>
      <c r="G566" s="3">
        <f>IFERROR(IF(INDEX('HMM Actors'!$B:$B,MATCH(E566,'HMM Actors'!$A:$A,0))="","(not assigned)",INDEX('HMM Actors'!$B:$B,MATCH(E566,'HMM Actors'!$A:$A,0))),"(not assigned)")</f>
        <v/>
      </c>
      <c r="H566" s="3">
        <f>IFERROR(IF(INDEX('HMM Locations'!$B:$B,MATCH(F566,'HMM Locations'!$A:$A,0))="","(not assigned)",INDEX('HMM Locations'!$B:$B,MATCH(F566,'HMM Locations'!$A:$A,0))),"(not assigned)")</f>
        <v/>
      </c>
      <c r="I566" s="3">
        <f>IFERROR(IF(INDEX('HMM Locations'!$C:$G,MATCH(F566,'HMM Locations'!$A:$A,0),D566)="","(not assigned)",INDEX('HMM Locations'!$C:$G,MATCH(F566,'HMM Locations'!$A:$A,0),D566)),"(not assigned)")</f>
        <v/>
      </c>
      <c r="J566" s="3">
        <f>IF(COUNTIF(G566:I566,"(not assigned)")=0,"Ready","Needs grid entry")</f>
        <v/>
      </c>
      <c r="K566" s="3" t="inlineStr"/>
      <c r="L566" s="3" t="inlineStr">
        <is>
          <t>新鲜</t>
        </is>
      </c>
    </row>
    <row r="567" ht="15.75" customHeight="1" s="9">
      <c r="A567" s="7" t="inlineStr">
        <is>
          <t>相</t>
        </is>
      </c>
      <c r="B567" s="7" t="n">
        <v>3</v>
      </c>
      <c r="C567" s="3" t="inlineStr">
        <is>
          <t>xiāng</t>
        </is>
      </c>
      <c r="D567" s="3" t="n">
        <v>1</v>
      </c>
      <c r="E567" s="3" t="inlineStr">
        <is>
          <t>X</t>
        </is>
      </c>
      <c r="F567" s="3" t="inlineStr">
        <is>
          <t>IANG</t>
        </is>
      </c>
      <c r="G567" s="3">
        <f>IFERROR(IF(INDEX('HMM Actors'!$B:$B,MATCH(E567,'HMM Actors'!$A:$A,0))="","(not assigned)",INDEX('HMM Actors'!$B:$B,MATCH(E567,'HMM Actors'!$A:$A,0))),"(not assigned)")</f>
        <v/>
      </c>
      <c r="H567" s="3">
        <f>IFERROR(IF(INDEX('HMM Locations'!$B:$B,MATCH(F567,'HMM Locations'!$A:$A,0))="","(not assigned)",INDEX('HMM Locations'!$B:$B,MATCH(F567,'HMM Locations'!$A:$A,0))),"(not assigned)")</f>
        <v/>
      </c>
      <c r="I567" s="3">
        <f>IFERROR(IF(INDEX('HMM Locations'!$C:$G,MATCH(F567,'HMM Locations'!$A:$A,0),D567)="","(not assigned)",INDEX('HMM Locations'!$C:$G,MATCH(F567,'HMM Locations'!$A:$A,0),D567)),"(not assigned)")</f>
        <v/>
      </c>
      <c r="J567" s="3">
        <f>IF(COUNTIF(G567:I567,"(not assigned)")=0,"Ready","Needs grid entry")</f>
        <v/>
      </c>
      <c r="K567" s="3" t="inlineStr">
        <is>
          <t>xiàng</t>
        </is>
      </c>
      <c r="L567" s="3" t="inlineStr">
        <is>
          <t>相信、照相机</t>
        </is>
      </c>
    </row>
    <row r="568" ht="15.75" customHeight="1" s="9">
      <c r="A568" s="7" t="inlineStr">
        <is>
          <t>香</t>
        </is>
      </c>
      <c r="B568" s="7" t="n">
        <v>3</v>
      </c>
      <c r="C568" s="3" t="inlineStr">
        <is>
          <t>xiāng</t>
        </is>
      </c>
      <c r="D568" s="3" t="n">
        <v>1</v>
      </c>
      <c r="E568" s="3" t="inlineStr">
        <is>
          <t>X</t>
        </is>
      </c>
      <c r="F568" s="3" t="inlineStr">
        <is>
          <t>IANG</t>
        </is>
      </c>
      <c r="G568" s="3">
        <f>IFERROR(IF(INDEX('HMM Actors'!$B:$B,MATCH(E568,'HMM Actors'!$A:$A,0))="","(not assigned)",INDEX('HMM Actors'!$B:$B,MATCH(E568,'HMM Actors'!$A:$A,0))),"(not assigned)")</f>
        <v/>
      </c>
      <c r="H568" s="3">
        <f>IFERROR(IF(INDEX('HMM Locations'!$B:$B,MATCH(F568,'HMM Locations'!$A:$A,0))="","(not assigned)",INDEX('HMM Locations'!$B:$B,MATCH(F568,'HMM Locations'!$A:$A,0))),"(not assigned)")</f>
        <v/>
      </c>
      <c r="I568" s="3">
        <f>IFERROR(IF(INDEX('HMM Locations'!$C:$G,MATCH(F568,'HMM Locations'!$A:$A,0),D568)="","(not assigned)",INDEX('HMM Locations'!$C:$G,MATCH(F568,'HMM Locations'!$A:$A,0),D568)),"(not assigned)")</f>
        <v/>
      </c>
      <c r="J568" s="3">
        <f>IF(COUNTIF(G568:I568,"(not assigned)")=0,"Ready","Needs grid entry")</f>
        <v/>
      </c>
      <c r="K568" s="3" t="inlineStr"/>
      <c r="L568" s="3" t="inlineStr">
        <is>
          <t>香蕉</t>
        </is>
      </c>
    </row>
    <row r="569" ht="15.75" customHeight="1" s="9">
      <c r="A569" s="7" t="inlineStr">
        <is>
          <t>箱</t>
        </is>
      </c>
      <c r="B569" s="7" t="n">
        <v>3</v>
      </c>
      <c r="C569" s="3" t="inlineStr">
        <is>
          <t>xiāng</t>
        </is>
      </c>
      <c r="D569" s="3" t="n">
        <v>1</v>
      </c>
      <c r="E569" s="3" t="inlineStr">
        <is>
          <t>X</t>
        </is>
      </c>
      <c r="F569" s="3" t="inlineStr">
        <is>
          <t>IANG</t>
        </is>
      </c>
      <c r="G569" s="3">
        <f>IFERROR(IF(INDEX('HMM Actors'!$B:$B,MATCH(E569,'HMM Actors'!$A:$A,0))="","(not assigned)",INDEX('HMM Actors'!$B:$B,MATCH(E569,'HMM Actors'!$A:$A,0))),"(not assigned)")</f>
        <v/>
      </c>
      <c r="H569" s="3">
        <f>IFERROR(IF(INDEX('HMM Locations'!$B:$B,MATCH(F569,'HMM Locations'!$A:$A,0))="","(not assigned)",INDEX('HMM Locations'!$B:$B,MATCH(F569,'HMM Locations'!$A:$A,0))),"(not assigned)")</f>
        <v/>
      </c>
      <c r="I569" s="3">
        <f>IFERROR(IF(INDEX('HMM Locations'!$C:$G,MATCH(F569,'HMM Locations'!$A:$A,0),D569)="","(not assigned)",INDEX('HMM Locations'!$C:$G,MATCH(F569,'HMM Locations'!$A:$A,0),D569)),"(not assigned)")</f>
        <v/>
      </c>
      <c r="J569" s="3">
        <f>IF(COUNTIF(G569:I569,"(not assigned)")=0,"Ready","Needs grid entry")</f>
        <v/>
      </c>
      <c r="K569" s="3" t="inlineStr"/>
      <c r="L569" s="3" t="inlineStr">
        <is>
          <t>冰箱、行李箱</t>
        </is>
      </c>
    </row>
    <row r="570" ht="15.75" customHeight="1" s="9">
      <c r="A570" s="7" t="inlineStr">
        <is>
          <t>响</t>
        </is>
      </c>
      <c r="B570" s="7" t="n">
        <v>3</v>
      </c>
      <c r="C570" s="3" t="inlineStr">
        <is>
          <t>xiǎng</t>
        </is>
      </c>
      <c r="D570" s="3" t="n">
        <v>3</v>
      </c>
      <c r="E570" s="3" t="inlineStr">
        <is>
          <t>X</t>
        </is>
      </c>
      <c r="F570" s="3" t="inlineStr">
        <is>
          <t>IANG</t>
        </is>
      </c>
      <c r="G570" s="3">
        <f>IFERROR(IF(INDEX('HMM Actors'!$B:$B,MATCH(E570,'HMM Actors'!$A:$A,0))="","(not assigned)",INDEX('HMM Actors'!$B:$B,MATCH(E570,'HMM Actors'!$A:$A,0))),"(not assigned)")</f>
        <v/>
      </c>
      <c r="H570" s="3">
        <f>IFERROR(IF(INDEX('HMM Locations'!$B:$B,MATCH(F570,'HMM Locations'!$A:$A,0))="","(not assigned)",INDEX('HMM Locations'!$B:$B,MATCH(F570,'HMM Locations'!$A:$A,0))),"(not assigned)")</f>
        <v/>
      </c>
      <c r="I570" s="3">
        <f>IFERROR(IF(INDEX('HMM Locations'!$C:$G,MATCH(F570,'HMM Locations'!$A:$A,0),D570)="","(not assigned)",INDEX('HMM Locations'!$C:$G,MATCH(F570,'HMM Locations'!$A:$A,0),D570)),"(not assigned)")</f>
        <v/>
      </c>
      <c r="J570" s="3">
        <f>IF(COUNTIF(G570:I570,"(not assigned)")=0,"Ready","Needs grid entry")</f>
        <v/>
      </c>
      <c r="K570" s="3" t="inlineStr"/>
      <c r="L570" s="3" t="inlineStr">
        <is>
          <t>影响</t>
        </is>
      </c>
    </row>
    <row r="571" ht="15.75" customHeight="1" s="9">
      <c r="A571" s="7" t="inlineStr">
        <is>
          <t>向</t>
        </is>
      </c>
      <c r="B571" s="7" t="n">
        <v>3</v>
      </c>
      <c r="C571" s="3" t="inlineStr">
        <is>
          <t>xiàng</t>
        </is>
      </c>
      <c r="D571" s="3" t="n">
        <v>4</v>
      </c>
      <c r="E571" s="3" t="inlineStr">
        <is>
          <t>X</t>
        </is>
      </c>
      <c r="F571" s="3" t="inlineStr">
        <is>
          <t>IANG</t>
        </is>
      </c>
      <c r="G571" s="3">
        <f>IFERROR(IF(INDEX('HMM Actors'!$B:$B,MATCH(E571,'HMM Actors'!$A:$A,0))="","(not assigned)",INDEX('HMM Actors'!$B:$B,MATCH(E571,'HMM Actors'!$A:$A,0))),"(not assigned)")</f>
        <v/>
      </c>
      <c r="H571" s="3">
        <f>IFERROR(IF(INDEX('HMM Locations'!$B:$B,MATCH(F571,'HMM Locations'!$A:$A,0))="","(not assigned)",INDEX('HMM Locations'!$B:$B,MATCH(F571,'HMM Locations'!$A:$A,0))),"(not assigned)")</f>
        <v/>
      </c>
      <c r="I571" s="3">
        <f>IFERROR(IF(INDEX('HMM Locations'!$C:$G,MATCH(F571,'HMM Locations'!$A:$A,0),D571)="","(not assigned)",INDEX('HMM Locations'!$C:$G,MATCH(F571,'HMM Locations'!$A:$A,0),D571)),"(not assigned)")</f>
        <v/>
      </c>
      <c r="J571" s="3">
        <f>IF(COUNTIF(G571:I571,"(not assigned)")=0,"Ready","Needs grid entry")</f>
        <v/>
      </c>
      <c r="K571" s="3" t="inlineStr"/>
      <c r="L571" s="3" t="inlineStr">
        <is>
          <t>向</t>
        </is>
      </c>
    </row>
    <row r="572" ht="15.75" customHeight="1" s="9">
      <c r="A572" s="7" t="inlineStr">
        <is>
          <t>像</t>
        </is>
      </c>
      <c r="B572" s="7" t="n">
        <v>3</v>
      </c>
      <c r="C572" s="3" t="inlineStr">
        <is>
          <t>xiàng</t>
        </is>
      </c>
      <c r="D572" s="3" t="n">
        <v>4</v>
      </c>
      <c r="E572" s="3" t="inlineStr">
        <is>
          <t>X</t>
        </is>
      </c>
      <c r="F572" s="3" t="inlineStr">
        <is>
          <t>IANG</t>
        </is>
      </c>
      <c r="G572" s="3">
        <f>IFERROR(IF(INDEX('HMM Actors'!$B:$B,MATCH(E572,'HMM Actors'!$A:$A,0))="","(not assigned)",INDEX('HMM Actors'!$B:$B,MATCH(E572,'HMM Actors'!$A:$A,0))),"(not assigned)")</f>
        <v/>
      </c>
      <c r="H572" s="3">
        <f>IFERROR(IF(INDEX('HMM Locations'!$B:$B,MATCH(F572,'HMM Locations'!$A:$A,0))="","(not assigned)",INDEX('HMM Locations'!$B:$B,MATCH(F572,'HMM Locations'!$A:$A,0))),"(not assigned)")</f>
        <v/>
      </c>
      <c r="I572" s="3">
        <f>IFERROR(IF(INDEX('HMM Locations'!$C:$G,MATCH(F572,'HMM Locations'!$A:$A,0),D572)="","(not assigned)",INDEX('HMM Locations'!$C:$G,MATCH(F572,'HMM Locations'!$A:$A,0),D572)),"(not assigned)")</f>
        <v/>
      </c>
      <c r="J572" s="3">
        <f>IF(COUNTIF(G572:I572,"(not assigned)")=0,"Ready","Needs grid entry")</f>
        <v/>
      </c>
      <c r="K572" s="3" t="inlineStr"/>
      <c r="L572" s="3" t="inlineStr">
        <is>
          <t>像</t>
        </is>
      </c>
    </row>
    <row r="573" ht="15.75" customHeight="1" s="9">
      <c r="A573" s="7" t="inlineStr">
        <is>
          <t>鞋</t>
        </is>
      </c>
      <c r="B573" s="7" t="n">
        <v>3</v>
      </c>
      <c r="C573" s="3" t="inlineStr">
        <is>
          <t>xié</t>
        </is>
      </c>
      <c r="D573" s="3" t="n">
        <v>2</v>
      </c>
      <c r="E573" s="3" t="inlineStr">
        <is>
          <t>X</t>
        </is>
      </c>
      <c r="F573" s="3" t="inlineStr">
        <is>
          <t>IE</t>
        </is>
      </c>
      <c r="G573" s="3">
        <f>IFERROR(IF(INDEX('HMM Actors'!$B:$B,MATCH(E573,'HMM Actors'!$A:$A,0))="","(not assigned)",INDEX('HMM Actors'!$B:$B,MATCH(E573,'HMM Actors'!$A:$A,0))),"(not assigned)")</f>
        <v/>
      </c>
      <c r="H573" s="3">
        <f>IFERROR(IF(INDEX('HMM Locations'!$B:$B,MATCH(F573,'HMM Locations'!$A:$A,0))="","(not assigned)",INDEX('HMM Locations'!$B:$B,MATCH(F573,'HMM Locations'!$A:$A,0))),"(not assigned)")</f>
        <v/>
      </c>
      <c r="I573" s="3">
        <f>IFERROR(IF(INDEX('HMM Locations'!$C:$G,MATCH(F573,'HMM Locations'!$A:$A,0),D573)="","(not assigned)",INDEX('HMM Locations'!$C:$G,MATCH(F573,'HMM Locations'!$A:$A,0),D573)),"(not assigned)")</f>
        <v/>
      </c>
      <c r="J573" s="3">
        <f>IF(COUNTIF(G573:I573,"(not assigned)")=0,"Ready","Needs grid entry")</f>
        <v/>
      </c>
      <c r="K573" s="3" t="inlineStr"/>
      <c r="L573" s="3" t="inlineStr">
        <is>
          <t>皮鞋</t>
        </is>
      </c>
    </row>
    <row r="574" ht="15.75" customHeight="1" s="9">
      <c r="A574" s="7" t="inlineStr">
        <is>
          <t>心</t>
        </is>
      </c>
      <c r="B574" s="7" t="n">
        <v>3</v>
      </c>
      <c r="C574" s="3" t="inlineStr">
        <is>
          <t>xīn</t>
        </is>
      </c>
      <c r="D574" s="3" t="n">
        <v>1</v>
      </c>
      <c r="E574" s="3" t="inlineStr">
        <is>
          <t>X</t>
        </is>
      </c>
      <c r="F574" s="3" t="inlineStr">
        <is>
          <t>IN</t>
        </is>
      </c>
      <c r="G574" s="3">
        <f>IFERROR(IF(INDEX('HMM Actors'!$B:$B,MATCH(E574,'HMM Actors'!$A:$A,0))="","(not assigned)",INDEX('HMM Actors'!$B:$B,MATCH(E574,'HMM Actors'!$A:$A,0))),"(not assigned)")</f>
        <v/>
      </c>
      <c r="H574" s="3">
        <f>IFERROR(IF(INDEX('HMM Locations'!$B:$B,MATCH(F574,'HMM Locations'!$A:$A,0))="","(not assigned)",INDEX('HMM Locations'!$B:$B,MATCH(F574,'HMM Locations'!$A:$A,0))),"(not assigned)")</f>
        <v/>
      </c>
      <c r="I574" s="3">
        <f>IFERROR(IF(INDEX('HMM Locations'!$C:$G,MATCH(F574,'HMM Locations'!$A:$A,0),D574)="","(not assigned)",INDEX('HMM Locations'!$C:$G,MATCH(F574,'HMM Locations'!$A:$A,0),D574)),"(not assigned)")</f>
        <v/>
      </c>
      <c r="J574" s="3">
        <f>IF(COUNTIF(G574:I574,"(not assigned)")=0,"Ready","Needs grid entry")</f>
        <v/>
      </c>
      <c r="K574" s="3" t="inlineStr"/>
      <c r="L574" s="3" t="inlineStr">
        <is>
          <t>担心、放心、关心、小心</t>
        </is>
      </c>
    </row>
    <row r="575" ht="15.75" customHeight="1" s="9">
      <c r="A575" s="7" t="inlineStr">
        <is>
          <t>信</t>
        </is>
      </c>
      <c r="B575" s="7" t="n">
        <v>3</v>
      </c>
      <c r="C575" s="3" t="inlineStr">
        <is>
          <t>xìn</t>
        </is>
      </c>
      <c r="D575" s="3" t="n">
        <v>4</v>
      </c>
      <c r="E575" s="3" t="inlineStr">
        <is>
          <t>X</t>
        </is>
      </c>
      <c r="F575" s="3" t="inlineStr">
        <is>
          <t>IN</t>
        </is>
      </c>
      <c r="G575" s="3">
        <f>IFERROR(IF(INDEX('HMM Actors'!$B:$B,MATCH(E575,'HMM Actors'!$A:$A,0))="","(not assigned)",INDEX('HMM Actors'!$B:$B,MATCH(E575,'HMM Actors'!$A:$A,0))),"(not assigned)")</f>
        <v/>
      </c>
      <c r="H575" s="3">
        <f>IFERROR(IF(INDEX('HMM Locations'!$B:$B,MATCH(F575,'HMM Locations'!$A:$A,0))="","(not assigned)",INDEX('HMM Locations'!$B:$B,MATCH(F575,'HMM Locations'!$A:$A,0))),"(not assigned)")</f>
        <v/>
      </c>
      <c r="I575" s="3">
        <f>IFERROR(IF(INDEX('HMM Locations'!$C:$G,MATCH(F575,'HMM Locations'!$A:$A,0),D575)="","(not assigned)",INDEX('HMM Locations'!$C:$G,MATCH(F575,'HMM Locations'!$A:$A,0),D575)),"(not assigned)")</f>
        <v/>
      </c>
      <c r="J575" s="3">
        <f>IF(COUNTIF(G575:I575,"(not assigned)")=0,"Ready","Needs grid entry")</f>
        <v/>
      </c>
      <c r="K575" s="3" t="inlineStr"/>
      <c r="L575" s="3" t="inlineStr">
        <is>
          <t>相信、信用卡</t>
        </is>
      </c>
    </row>
    <row r="576" ht="15.75" customHeight="1" s="9">
      <c r="A576" s="7" t="inlineStr">
        <is>
          <t>行</t>
        </is>
      </c>
      <c r="B576" s="7" t="n">
        <v>3</v>
      </c>
      <c r="C576" s="3" t="inlineStr">
        <is>
          <t>xíng</t>
        </is>
      </c>
      <c r="D576" s="3" t="n">
        <v>2</v>
      </c>
      <c r="E576" s="3" t="inlineStr">
        <is>
          <t>X</t>
        </is>
      </c>
      <c r="F576" s="3" t="inlineStr">
        <is>
          <t>ING</t>
        </is>
      </c>
      <c r="G576" s="3">
        <f>IFERROR(IF(INDEX('HMM Actors'!$B:$B,MATCH(E576,'HMM Actors'!$A:$A,0))="","(not assigned)",INDEX('HMM Actors'!$B:$B,MATCH(E576,'HMM Actors'!$A:$A,0))),"(not assigned)")</f>
        <v/>
      </c>
      <c r="H576" s="3">
        <f>IFERROR(IF(INDEX('HMM Locations'!$B:$B,MATCH(F576,'HMM Locations'!$A:$A,0))="","(not assigned)",INDEX('HMM Locations'!$B:$B,MATCH(F576,'HMM Locations'!$A:$A,0))),"(not assigned)")</f>
        <v/>
      </c>
      <c r="I576" s="3">
        <f>IFERROR(IF(INDEX('HMM Locations'!$C:$G,MATCH(F576,'HMM Locations'!$A:$A,0),D576)="","(not assigned)",INDEX('HMM Locations'!$C:$G,MATCH(F576,'HMM Locations'!$A:$A,0),D576)),"(not assigned)")</f>
        <v/>
      </c>
      <c r="J576" s="3">
        <f>IF(COUNTIF(G576:I576,"(not assigned)")=0,"Ready","Needs grid entry")</f>
        <v/>
      </c>
      <c r="K576" s="3" t="inlineStr">
        <is>
          <t>háng</t>
        </is>
      </c>
      <c r="L576" s="3" t="inlineStr">
        <is>
          <t>行李箱、银行、自行车</t>
        </is>
      </c>
    </row>
    <row r="577" ht="15.75" customHeight="1" s="9">
      <c r="A577" s="7" t="inlineStr">
        <is>
          <t>熊</t>
        </is>
      </c>
      <c r="B577" s="7" t="n">
        <v>3</v>
      </c>
      <c r="C577" s="3" t="inlineStr">
        <is>
          <t>xióng</t>
        </is>
      </c>
      <c r="D577" s="3" t="n">
        <v>2</v>
      </c>
      <c r="E577" s="3" t="inlineStr">
        <is>
          <t>X</t>
        </is>
      </c>
      <c r="F577" s="3" t="inlineStr">
        <is>
          <t>IONG</t>
        </is>
      </c>
      <c r="G577" s="3">
        <f>IFERROR(IF(INDEX('HMM Actors'!$B:$B,MATCH(E577,'HMM Actors'!$A:$A,0))="","(not assigned)",INDEX('HMM Actors'!$B:$B,MATCH(E577,'HMM Actors'!$A:$A,0))),"(not assigned)")</f>
        <v/>
      </c>
      <c r="H577" s="3">
        <f>IFERROR(IF(INDEX('HMM Locations'!$B:$B,MATCH(F577,'HMM Locations'!$A:$A,0))="","(not assigned)",INDEX('HMM Locations'!$B:$B,MATCH(F577,'HMM Locations'!$A:$A,0))),"(not assigned)")</f>
        <v/>
      </c>
      <c r="I577" s="3">
        <f>IFERROR(IF(INDEX('HMM Locations'!$C:$G,MATCH(F577,'HMM Locations'!$A:$A,0),D577)="","(not assigned)",INDEX('HMM Locations'!$C:$G,MATCH(F577,'HMM Locations'!$A:$A,0),D577)),"(not assigned)")</f>
        <v/>
      </c>
      <c r="J577" s="3">
        <f>IF(COUNTIF(G577:I577,"(not assigned)")=0,"Ready","Needs grid entry")</f>
        <v/>
      </c>
      <c r="K577" s="3" t="inlineStr"/>
      <c r="L577" s="3" t="inlineStr">
        <is>
          <t>熊猫</t>
        </is>
      </c>
    </row>
    <row r="578" ht="15.75" customHeight="1" s="9">
      <c r="A578" s="7" t="inlineStr">
        <is>
          <t>须</t>
        </is>
      </c>
      <c r="B578" s="7" t="n">
        <v>3</v>
      </c>
      <c r="C578" s="3" t="inlineStr">
        <is>
          <t>xū</t>
        </is>
      </c>
      <c r="D578" s="3" t="n">
        <v>1</v>
      </c>
      <c r="E578" s="3" t="inlineStr">
        <is>
          <t>X</t>
        </is>
      </c>
      <c r="F578" s="3" t="inlineStr">
        <is>
          <t>U</t>
        </is>
      </c>
      <c r="G578" s="3">
        <f>IFERROR(IF(INDEX('HMM Actors'!$B:$B,MATCH(E578,'HMM Actors'!$A:$A,0))="","(not assigned)",INDEX('HMM Actors'!$B:$B,MATCH(E578,'HMM Actors'!$A:$A,0))),"(not assigned)")</f>
        <v/>
      </c>
      <c r="H578" s="3">
        <f>IFERROR(IF(INDEX('HMM Locations'!$B:$B,MATCH(F578,'HMM Locations'!$A:$A,0))="","(not assigned)",INDEX('HMM Locations'!$B:$B,MATCH(F578,'HMM Locations'!$A:$A,0))),"(not assigned)")</f>
        <v/>
      </c>
      <c r="I578" s="3">
        <f>IFERROR(IF(INDEX('HMM Locations'!$C:$G,MATCH(F578,'HMM Locations'!$A:$A,0),D578)="","(not assigned)",INDEX('HMM Locations'!$C:$G,MATCH(F578,'HMM Locations'!$A:$A,0),D578)),"(not assigned)")</f>
        <v/>
      </c>
      <c r="J578" s="3">
        <f>IF(COUNTIF(G578:I578,"(not assigned)")=0,"Ready","Needs grid entry")</f>
        <v/>
      </c>
      <c r="K578" s="3" t="inlineStr"/>
      <c r="L578" s="3" t="inlineStr">
        <is>
          <t>必须</t>
        </is>
      </c>
    </row>
    <row r="579" ht="15.75" customHeight="1" s="9">
      <c r="A579" s="7" t="inlineStr">
        <is>
          <t>需</t>
        </is>
      </c>
      <c r="B579" s="7" t="n">
        <v>3</v>
      </c>
      <c r="C579" s="3" t="inlineStr">
        <is>
          <t>xū</t>
        </is>
      </c>
      <c r="D579" s="3" t="n">
        <v>1</v>
      </c>
      <c r="E579" s="3" t="inlineStr">
        <is>
          <t>X</t>
        </is>
      </c>
      <c r="F579" s="3" t="inlineStr">
        <is>
          <t>U</t>
        </is>
      </c>
      <c r="G579" s="3">
        <f>IFERROR(IF(INDEX('HMM Actors'!$B:$B,MATCH(E579,'HMM Actors'!$A:$A,0))="","(not assigned)",INDEX('HMM Actors'!$B:$B,MATCH(E579,'HMM Actors'!$A:$A,0))),"(not assigned)")</f>
        <v/>
      </c>
      <c r="H579" s="3">
        <f>IFERROR(IF(INDEX('HMM Locations'!$B:$B,MATCH(F579,'HMM Locations'!$A:$A,0))="","(not assigned)",INDEX('HMM Locations'!$B:$B,MATCH(F579,'HMM Locations'!$A:$A,0))),"(not assigned)")</f>
        <v/>
      </c>
      <c r="I579" s="3">
        <f>IFERROR(IF(INDEX('HMM Locations'!$C:$G,MATCH(F579,'HMM Locations'!$A:$A,0),D579)="","(not assigned)",INDEX('HMM Locations'!$C:$G,MATCH(F579,'HMM Locations'!$A:$A,0),D579)),"(not assigned)")</f>
        <v/>
      </c>
      <c r="J579" s="3">
        <f>IF(COUNTIF(G579:I579,"(not assigned)")=0,"Ready","Needs grid entry")</f>
        <v/>
      </c>
      <c r="K579" s="3" t="inlineStr"/>
      <c r="L579" s="3" t="inlineStr">
        <is>
          <t>需要</t>
        </is>
      </c>
    </row>
    <row r="580" ht="15.75" customHeight="1" s="9">
      <c r="A580" s="7" t="inlineStr">
        <is>
          <t>选</t>
        </is>
      </c>
      <c r="B580" s="7" t="n">
        <v>3</v>
      </c>
      <c r="C580" s="3" t="inlineStr">
        <is>
          <t>xuǎn</t>
        </is>
      </c>
      <c r="D580" s="3" t="n">
        <v>3</v>
      </c>
      <c r="E580" s="3" t="inlineStr">
        <is>
          <t>X</t>
        </is>
      </c>
      <c r="F580" s="3" t="inlineStr">
        <is>
          <t>UAN (14th, Jacob-specific)</t>
        </is>
      </c>
      <c r="G580" s="3">
        <f>IFERROR(IF(INDEX('HMM Actors'!$B:$B,MATCH(E580,'HMM Actors'!$A:$A,0))="","(not assigned)",INDEX('HMM Actors'!$B:$B,MATCH(E580,'HMM Actors'!$A:$A,0))),"(not assigned)")</f>
        <v/>
      </c>
      <c r="H580" s="3">
        <f>IFERROR(IF(INDEX('HMM Locations'!$B:$B,MATCH(F580,'HMM Locations'!$A:$A,0))="","(not assigned)",INDEX('HMM Locations'!$B:$B,MATCH(F580,'HMM Locations'!$A:$A,0))),"(not assigned)")</f>
        <v/>
      </c>
      <c r="I580" s="3">
        <f>IFERROR(IF(INDEX('HMM Locations'!$C:$G,MATCH(F580,'HMM Locations'!$A:$A,0),D580)="","(not assigned)",INDEX('HMM Locations'!$C:$G,MATCH(F580,'HMM Locations'!$A:$A,0),D580)),"(not assigned)")</f>
        <v/>
      </c>
      <c r="J580" s="3">
        <f>IF(COUNTIF(G580:I580,"(not assigned)")=0,"Ready","Needs grid entry")</f>
        <v/>
      </c>
      <c r="K580" s="3" t="inlineStr"/>
      <c r="L580" s="3" t="inlineStr">
        <is>
          <t>选择</t>
        </is>
      </c>
    </row>
    <row r="581" ht="15.75" customHeight="1" s="9">
      <c r="A581" s="7" t="inlineStr">
        <is>
          <t>牙</t>
        </is>
      </c>
      <c r="B581" s="7" t="n">
        <v>3</v>
      </c>
      <c r="C581" s="3" t="inlineStr">
        <is>
          <t>yá</t>
        </is>
      </c>
      <c r="D581" s="3" t="n">
        <v>2</v>
      </c>
      <c r="E581" s="3" t="inlineStr">
        <is>
          <t>Y</t>
        </is>
      </c>
      <c r="F581" s="3" t="inlineStr">
        <is>
          <t>A</t>
        </is>
      </c>
      <c r="G581" s="3">
        <f>IFERROR(IF(INDEX('HMM Actors'!$B:$B,MATCH(E581,'HMM Actors'!$A:$A,0))="","(not assigned)",INDEX('HMM Actors'!$B:$B,MATCH(E581,'HMM Actors'!$A:$A,0))),"(not assigned)")</f>
        <v/>
      </c>
      <c r="H581" s="3">
        <f>IFERROR(IF(INDEX('HMM Locations'!$B:$B,MATCH(F581,'HMM Locations'!$A:$A,0))="","(not assigned)",INDEX('HMM Locations'!$B:$B,MATCH(F581,'HMM Locations'!$A:$A,0))),"(not assigned)")</f>
        <v/>
      </c>
      <c r="I581" s="3">
        <f>IFERROR(IF(INDEX('HMM Locations'!$C:$G,MATCH(F581,'HMM Locations'!$A:$A,0),D581)="","(not assigned)",INDEX('HMM Locations'!$C:$G,MATCH(F581,'HMM Locations'!$A:$A,0),D581)),"(not assigned)")</f>
        <v/>
      </c>
      <c r="J581" s="3">
        <f>IF(COUNTIF(G581:I581,"(not assigned)")=0,"Ready","Needs grid entry")</f>
        <v/>
      </c>
      <c r="K581" s="3" t="inlineStr"/>
      <c r="L581" s="3" t="inlineStr">
        <is>
          <t>刷牙</t>
        </is>
      </c>
    </row>
    <row r="582" ht="15.75" customHeight="1" s="9">
      <c r="A582" s="7" t="inlineStr">
        <is>
          <t>阳</t>
        </is>
      </c>
      <c r="B582" s="7" t="n">
        <v>3</v>
      </c>
      <c r="C582" s="3" t="inlineStr">
        <is>
          <t>yáng</t>
        </is>
      </c>
      <c r="D582" s="3" t="n">
        <v>2</v>
      </c>
      <c r="E582" s="3" t="inlineStr">
        <is>
          <t>Y</t>
        </is>
      </c>
      <c r="F582" s="3" t="inlineStr">
        <is>
          <t>ANG</t>
        </is>
      </c>
      <c r="G582" s="3">
        <f>IFERROR(IF(INDEX('HMM Actors'!$B:$B,MATCH(E582,'HMM Actors'!$A:$A,0))="","(not assigned)",INDEX('HMM Actors'!$B:$B,MATCH(E582,'HMM Actors'!$A:$A,0))),"(not assigned)")</f>
        <v/>
      </c>
      <c r="H582" s="3">
        <f>IFERROR(IF(INDEX('HMM Locations'!$B:$B,MATCH(F582,'HMM Locations'!$A:$A,0))="","(not assigned)",INDEX('HMM Locations'!$B:$B,MATCH(F582,'HMM Locations'!$A:$A,0))),"(not assigned)")</f>
        <v/>
      </c>
      <c r="I582" s="3">
        <f>IFERROR(IF(INDEX('HMM Locations'!$C:$G,MATCH(F582,'HMM Locations'!$A:$A,0),D582)="","(not assigned)",INDEX('HMM Locations'!$C:$G,MATCH(F582,'HMM Locations'!$A:$A,0),D582)),"(not assigned)")</f>
        <v/>
      </c>
      <c r="J582" s="3">
        <f>IF(COUNTIF(G582:I582,"(not assigned)")=0,"Ready","Needs grid entry")</f>
        <v/>
      </c>
      <c r="K582" s="3" t="inlineStr"/>
      <c r="L582" s="3" t="inlineStr">
        <is>
          <t>太阳</t>
        </is>
      </c>
    </row>
    <row r="583" ht="15.75" customHeight="1" s="9">
      <c r="A583" s="7" t="inlineStr">
        <is>
          <t>爷</t>
        </is>
      </c>
      <c r="B583" s="7" t="n">
        <v>3</v>
      </c>
      <c r="C583" s="3" t="inlineStr">
        <is>
          <t>yé</t>
        </is>
      </c>
      <c r="D583" s="3" t="n">
        <v>2</v>
      </c>
      <c r="E583" s="3" t="inlineStr">
        <is>
          <t>Y</t>
        </is>
      </c>
      <c r="F583" s="3" t="inlineStr">
        <is>
          <t>E</t>
        </is>
      </c>
      <c r="G583" s="3">
        <f>IFERROR(IF(INDEX('HMM Actors'!$B:$B,MATCH(E583,'HMM Actors'!$A:$A,0))="","(not assigned)",INDEX('HMM Actors'!$B:$B,MATCH(E583,'HMM Actors'!$A:$A,0))),"(not assigned)")</f>
        <v/>
      </c>
      <c r="H583" s="3">
        <f>IFERROR(IF(INDEX('HMM Locations'!$B:$B,MATCH(F583,'HMM Locations'!$A:$A,0))="","(not assigned)",INDEX('HMM Locations'!$B:$B,MATCH(F583,'HMM Locations'!$A:$A,0))),"(not assigned)")</f>
        <v/>
      </c>
      <c r="I583" s="3">
        <f>IFERROR(IF(INDEX('HMM Locations'!$C:$G,MATCH(F583,'HMM Locations'!$A:$A,0),D583)="","(not assigned)",INDEX('HMM Locations'!$C:$G,MATCH(F583,'HMM Locations'!$A:$A,0),D583)),"(not assigned)")</f>
        <v/>
      </c>
      <c r="J583" s="3">
        <f>IF(COUNTIF(G583:I583,"(not assigned)")=0,"Ready","Needs grid entry")</f>
        <v/>
      </c>
      <c r="K583" s="3" t="inlineStr"/>
      <c r="L583" s="3" t="inlineStr">
        <is>
          <t>爷爷</t>
        </is>
      </c>
    </row>
    <row r="584" ht="15.75" customHeight="1" s="9">
      <c r="A584" s="7" t="inlineStr">
        <is>
          <t>业</t>
        </is>
      </c>
      <c r="B584" s="7" t="n">
        <v>3</v>
      </c>
      <c r="C584" s="3" t="inlineStr">
        <is>
          <t>yè</t>
        </is>
      </c>
      <c r="D584" s="3" t="n">
        <v>4</v>
      </c>
      <c r="E584" s="3" t="inlineStr">
        <is>
          <t>Y</t>
        </is>
      </c>
      <c r="F584" s="3" t="inlineStr">
        <is>
          <t>E</t>
        </is>
      </c>
      <c r="G584" s="3">
        <f>IFERROR(IF(INDEX('HMM Actors'!$B:$B,MATCH(E584,'HMM Actors'!$A:$A,0))="","(not assigned)",INDEX('HMM Actors'!$B:$B,MATCH(E584,'HMM Actors'!$A:$A,0))),"(not assigned)")</f>
        <v/>
      </c>
      <c r="H584" s="3">
        <f>IFERROR(IF(INDEX('HMM Locations'!$B:$B,MATCH(F584,'HMM Locations'!$A:$A,0))="","(not assigned)",INDEX('HMM Locations'!$B:$B,MATCH(F584,'HMM Locations'!$A:$A,0))),"(not assigned)")</f>
        <v/>
      </c>
      <c r="I584" s="3">
        <f>IFERROR(IF(INDEX('HMM Locations'!$C:$G,MATCH(F584,'HMM Locations'!$A:$A,0),D584)="","(not assigned)",INDEX('HMM Locations'!$C:$G,MATCH(F584,'HMM Locations'!$A:$A,0),D584)),"(not assigned)")</f>
        <v/>
      </c>
      <c r="J584" s="3">
        <f>IF(COUNTIF(G584:I584,"(not assigned)")=0,"Ready","Needs grid entry")</f>
        <v/>
      </c>
      <c r="K584" s="3" t="inlineStr"/>
      <c r="L584" s="3" t="inlineStr">
        <is>
          <t>作业</t>
        </is>
      </c>
    </row>
    <row r="585" ht="15.75" customHeight="1" s="9">
      <c r="A585" s="7" t="inlineStr">
        <is>
          <t>姨</t>
        </is>
      </c>
      <c r="B585" s="7" t="n">
        <v>3</v>
      </c>
      <c r="C585" s="3" t="inlineStr">
        <is>
          <t>yí</t>
        </is>
      </c>
      <c r="D585" s="3" t="n">
        <v>2</v>
      </c>
      <c r="E585" s="3" t="inlineStr">
        <is>
          <t>Y</t>
        </is>
      </c>
      <c r="F585" s="3" t="inlineStr">
        <is>
          <t>I</t>
        </is>
      </c>
      <c r="G585" s="3">
        <f>IFERROR(IF(INDEX('HMM Actors'!$B:$B,MATCH(E585,'HMM Actors'!$A:$A,0))="","(not assigned)",INDEX('HMM Actors'!$B:$B,MATCH(E585,'HMM Actors'!$A:$A,0))),"(not assigned)")</f>
        <v/>
      </c>
      <c r="H585" s="3">
        <f>IFERROR(IF(INDEX('HMM Locations'!$B:$B,MATCH(F585,'HMM Locations'!$A:$A,0))="","(not assigned)",INDEX('HMM Locations'!$B:$B,MATCH(F585,'HMM Locations'!$A:$A,0))),"(not assigned)")</f>
        <v/>
      </c>
      <c r="I585" s="3">
        <f>IFERROR(IF(INDEX('HMM Locations'!$C:$G,MATCH(F585,'HMM Locations'!$A:$A,0),D585)="","(not assigned)",INDEX('HMM Locations'!$C:$G,MATCH(F585,'HMM Locations'!$A:$A,0),D585)),"(not assigned)")</f>
        <v/>
      </c>
      <c r="J585" s="3">
        <f>IF(COUNTIF(G585:I585,"(not assigned)")=0,"Ready","Needs grid entry")</f>
        <v/>
      </c>
      <c r="K585" s="3" t="inlineStr"/>
      <c r="L585" s="3" t="inlineStr">
        <is>
          <t>阿姨</t>
        </is>
      </c>
    </row>
    <row r="586" ht="15.75" customHeight="1" s="9">
      <c r="A586" s="7" t="inlineStr">
        <is>
          <t>议</t>
        </is>
      </c>
      <c r="B586" s="7" t="n">
        <v>3</v>
      </c>
      <c r="C586" s="3" t="inlineStr">
        <is>
          <t>yì</t>
        </is>
      </c>
      <c r="D586" s="3" t="n">
        <v>4</v>
      </c>
      <c r="E586" s="3" t="inlineStr">
        <is>
          <t>Y</t>
        </is>
      </c>
      <c r="F586" s="3" t="inlineStr">
        <is>
          <t>I</t>
        </is>
      </c>
      <c r="G586" s="3">
        <f>IFERROR(IF(INDEX('HMM Actors'!$B:$B,MATCH(E586,'HMM Actors'!$A:$A,0))="","(not assigned)",INDEX('HMM Actors'!$B:$B,MATCH(E586,'HMM Actors'!$A:$A,0))),"(not assigned)")</f>
        <v/>
      </c>
      <c r="H586" s="3">
        <f>IFERROR(IF(INDEX('HMM Locations'!$B:$B,MATCH(F586,'HMM Locations'!$A:$A,0))="","(not assigned)",INDEX('HMM Locations'!$B:$B,MATCH(F586,'HMM Locations'!$A:$A,0))),"(not assigned)")</f>
        <v/>
      </c>
      <c r="I586" s="3">
        <f>IFERROR(IF(INDEX('HMM Locations'!$C:$G,MATCH(F586,'HMM Locations'!$A:$A,0),D586)="","(not assigned)",INDEX('HMM Locations'!$C:$G,MATCH(F586,'HMM Locations'!$A:$A,0),D586)),"(not assigned)")</f>
        <v/>
      </c>
      <c r="J586" s="3">
        <f>IF(COUNTIF(G586:I586,"(not assigned)")=0,"Ready","Needs grid entry")</f>
        <v/>
      </c>
      <c r="K586" s="3" t="inlineStr"/>
      <c r="L586" s="3" t="inlineStr">
        <is>
          <t>会议</t>
        </is>
      </c>
    </row>
    <row r="587" ht="15.75" customHeight="1" s="9">
      <c r="A587" s="7" t="inlineStr">
        <is>
          <t>易</t>
        </is>
      </c>
      <c r="B587" s="7" t="n">
        <v>3</v>
      </c>
      <c r="C587" s="3" t="inlineStr">
        <is>
          <t>yì</t>
        </is>
      </c>
      <c r="D587" s="3" t="n">
        <v>4</v>
      </c>
      <c r="E587" s="3" t="inlineStr">
        <is>
          <t>Y</t>
        </is>
      </c>
      <c r="F587" s="3" t="inlineStr">
        <is>
          <t>I</t>
        </is>
      </c>
      <c r="G587" s="3">
        <f>IFERROR(IF(INDEX('HMM Actors'!$B:$B,MATCH(E587,'HMM Actors'!$A:$A,0))="","(not assigned)",INDEX('HMM Actors'!$B:$B,MATCH(E587,'HMM Actors'!$A:$A,0))),"(not assigned)")</f>
        <v/>
      </c>
      <c r="H587" s="3">
        <f>IFERROR(IF(INDEX('HMM Locations'!$B:$B,MATCH(F587,'HMM Locations'!$A:$A,0))="","(not assigned)",INDEX('HMM Locations'!$B:$B,MATCH(F587,'HMM Locations'!$A:$A,0))),"(not assigned)")</f>
        <v/>
      </c>
      <c r="I587" s="3">
        <f>IFERROR(IF(INDEX('HMM Locations'!$C:$G,MATCH(F587,'HMM Locations'!$A:$A,0),D587)="","(not assigned)",INDEX('HMM Locations'!$C:$G,MATCH(F587,'HMM Locations'!$A:$A,0),D587)),"(not assigned)")</f>
        <v/>
      </c>
      <c r="J587" s="3">
        <f>IF(COUNTIF(G587:I587,"(not assigned)")=0,"Ready","Needs grid entry")</f>
        <v/>
      </c>
      <c r="K587" s="3" t="inlineStr"/>
      <c r="L587" s="3" t="inlineStr">
        <is>
          <t>容易</t>
        </is>
      </c>
    </row>
    <row r="588" ht="15.75" customHeight="1" s="9">
      <c r="A588" s="7" t="inlineStr">
        <is>
          <t>音</t>
        </is>
      </c>
      <c r="B588" s="7" t="n">
        <v>3</v>
      </c>
      <c r="C588" s="3" t="inlineStr">
        <is>
          <t>yīn</t>
        </is>
      </c>
      <c r="D588" s="3" t="n">
        <v>1</v>
      </c>
      <c r="E588" s="3" t="inlineStr">
        <is>
          <t>Y</t>
        </is>
      </c>
      <c r="F588" s="3" t="inlineStr">
        <is>
          <t>IN</t>
        </is>
      </c>
      <c r="G588" s="3">
        <f>IFERROR(IF(INDEX('HMM Actors'!$B:$B,MATCH(E588,'HMM Actors'!$A:$A,0))="","(not assigned)",INDEX('HMM Actors'!$B:$B,MATCH(E588,'HMM Actors'!$A:$A,0))),"(not assigned)")</f>
        <v/>
      </c>
      <c r="H588" s="3">
        <f>IFERROR(IF(INDEX('HMM Locations'!$B:$B,MATCH(F588,'HMM Locations'!$A:$A,0))="","(not assigned)",INDEX('HMM Locations'!$B:$B,MATCH(F588,'HMM Locations'!$A:$A,0))),"(not assigned)")</f>
        <v/>
      </c>
      <c r="I588" s="3">
        <f>IFERROR(IF(INDEX('HMM Locations'!$C:$G,MATCH(F588,'HMM Locations'!$A:$A,0),D588)="","(not assigned)",INDEX('HMM Locations'!$C:$G,MATCH(F588,'HMM Locations'!$A:$A,0),D588)),"(not assigned)")</f>
        <v/>
      </c>
      <c r="J588" s="3">
        <f>IF(COUNTIF(G588:I588,"(not assigned)")=0,"Ready","Needs grid entry")</f>
        <v/>
      </c>
      <c r="K588" s="3" t="inlineStr"/>
      <c r="L588" s="3" t="inlineStr">
        <is>
          <t>声音、音乐</t>
        </is>
      </c>
    </row>
    <row r="589" ht="15.75" customHeight="1" s="9">
      <c r="A589" s="7" t="inlineStr">
        <is>
          <t>银</t>
        </is>
      </c>
      <c r="B589" s="7" t="n">
        <v>3</v>
      </c>
      <c r="C589" s="3" t="inlineStr">
        <is>
          <t>yín</t>
        </is>
      </c>
      <c r="D589" s="3" t="n">
        <v>2</v>
      </c>
      <c r="E589" s="3" t="inlineStr">
        <is>
          <t>Y</t>
        </is>
      </c>
      <c r="F589" s="3" t="inlineStr">
        <is>
          <t>IN</t>
        </is>
      </c>
      <c r="G589" s="3">
        <f>IFERROR(IF(INDEX('HMM Actors'!$B:$B,MATCH(E589,'HMM Actors'!$A:$A,0))="","(not assigned)",INDEX('HMM Actors'!$B:$B,MATCH(E589,'HMM Actors'!$A:$A,0))),"(not assigned)")</f>
        <v/>
      </c>
      <c r="H589" s="3">
        <f>IFERROR(IF(INDEX('HMM Locations'!$B:$B,MATCH(F589,'HMM Locations'!$A:$A,0))="","(not assigned)",INDEX('HMM Locations'!$B:$B,MATCH(F589,'HMM Locations'!$A:$A,0))),"(not assigned)")</f>
        <v/>
      </c>
      <c r="I589" s="3">
        <f>IFERROR(IF(INDEX('HMM Locations'!$C:$G,MATCH(F589,'HMM Locations'!$A:$A,0),D589)="","(not assigned)",INDEX('HMM Locations'!$C:$G,MATCH(F589,'HMM Locations'!$A:$A,0),D589)),"(not assigned)")</f>
        <v/>
      </c>
      <c r="J589" s="3">
        <f>IF(COUNTIF(G589:I589,"(not assigned)")=0,"Ready","Needs grid entry")</f>
        <v/>
      </c>
      <c r="K589" s="3" t="inlineStr"/>
      <c r="L589" s="3" t="inlineStr">
        <is>
          <t>银行</t>
        </is>
      </c>
    </row>
    <row r="590" ht="15.75" customHeight="1" s="9">
      <c r="A590" s="7" t="inlineStr">
        <is>
          <t>饮</t>
        </is>
      </c>
      <c r="B590" s="7" t="n">
        <v>3</v>
      </c>
      <c r="C590" s="3" t="inlineStr">
        <is>
          <t>yǐn</t>
        </is>
      </c>
      <c r="D590" s="3" t="n">
        <v>3</v>
      </c>
      <c r="E590" s="3" t="inlineStr">
        <is>
          <t>Y</t>
        </is>
      </c>
      <c r="F590" s="3" t="inlineStr">
        <is>
          <t>IN</t>
        </is>
      </c>
      <c r="G590" s="3">
        <f>IFERROR(IF(INDEX('HMM Actors'!$B:$B,MATCH(E590,'HMM Actors'!$A:$A,0))="","(not assigned)",INDEX('HMM Actors'!$B:$B,MATCH(E590,'HMM Actors'!$A:$A,0))),"(not assigned)")</f>
        <v/>
      </c>
      <c r="H590" s="3">
        <f>IFERROR(IF(INDEX('HMM Locations'!$B:$B,MATCH(F590,'HMM Locations'!$A:$A,0))="","(not assigned)",INDEX('HMM Locations'!$B:$B,MATCH(F590,'HMM Locations'!$A:$A,0))),"(not assigned)")</f>
        <v/>
      </c>
      <c r="I590" s="3">
        <f>IFERROR(IF(INDEX('HMM Locations'!$C:$G,MATCH(F590,'HMM Locations'!$A:$A,0),D590)="","(not assigned)",INDEX('HMM Locations'!$C:$G,MATCH(F590,'HMM Locations'!$A:$A,0),D590)),"(not assigned)")</f>
        <v/>
      </c>
      <c r="J590" s="3">
        <f>IF(COUNTIF(G590:I590,"(not assigned)")=0,"Ready","Needs grid entry")</f>
        <v/>
      </c>
      <c r="K590" s="3" t="inlineStr"/>
      <c r="L590" s="3" t="inlineStr">
        <is>
          <t>饮料</t>
        </is>
      </c>
    </row>
    <row r="591" ht="15.75" customHeight="1" s="9">
      <c r="A591" s="7" t="inlineStr">
        <is>
          <t>应</t>
        </is>
      </c>
      <c r="B591" s="7" t="n">
        <v>3</v>
      </c>
      <c r="C591" s="3" t="inlineStr">
        <is>
          <t>yīng</t>
        </is>
      </c>
      <c r="D591" s="3" t="n">
        <v>1</v>
      </c>
      <c r="E591" s="3" t="inlineStr">
        <is>
          <t>Y</t>
        </is>
      </c>
      <c r="F591" s="3" t="inlineStr">
        <is>
          <t>ING</t>
        </is>
      </c>
      <c r="G591" s="3">
        <f>IFERROR(IF(INDEX('HMM Actors'!$B:$B,MATCH(E591,'HMM Actors'!$A:$A,0))="","(not assigned)",INDEX('HMM Actors'!$B:$B,MATCH(E591,'HMM Actors'!$A:$A,0))),"(not assigned)")</f>
        <v/>
      </c>
      <c r="H591" s="3">
        <f>IFERROR(IF(INDEX('HMM Locations'!$B:$B,MATCH(F591,'HMM Locations'!$A:$A,0))="","(not assigned)",INDEX('HMM Locations'!$B:$B,MATCH(F591,'HMM Locations'!$A:$A,0))),"(not assigned)")</f>
        <v/>
      </c>
      <c r="I591" s="3">
        <f>IFERROR(IF(INDEX('HMM Locations'!$C:$G,MATCH(F591,'HMM Locations'!$A:$A,0),D591)="","(not assigned)",INDEX('HMM Locations'!$C:$G,MATCH(F591,'HMM Locations'!$A:$A,0),D591)),"(not assigned)")</f>
        <v/>
      </c>
      <c r="J591" s="3">
        <f>IF(COUNTIF(G591:I591,"(not assigned)")=0,"Ready","Needs grid entry")</f>
        <v/>
      </c>
      <c r="K591" s="3" t="inlineStr"/>
      <c r="L591" s="3" t="inlineStr">
        <is>
          <t>应该</t>
        </is>
      </c>
    </row>
    <row r="592" ht="15.75" customHeight="1" s="9">
      <c r="A592" s="7" t="inlineStr">
        <is>
          <t>迎</t>
        </is>
      </c>
      <c r="B592" s="7" t="n">
        <v>3</v>
      </c>
      <c r="C592" s="3" t="inlineStr">
        <is>
          <t>yíng</t>
        </is>
      </c>
      <c r="D592" s="3" t="n">
        <v>2</v>
      </c>
      <c r="E592" s="3" t="inlineStr">
        <is>
          <t>Y</t>
        </is>
      </c>
      <c r="F592" s="3" t="inlineStr">
        <is>
          <t>ING</t>
        </is>
      </c>
      <c r="G592" s="3">
        <f>IFERROR(IF(INDEX('HMM Actors'!$B:$B,MATCH(E592,'HMM Actors'!$A:$A,0))="","(not assigned)",INDEX('HMM Actors'!$B:$B,MATCH(E592,'HMM Actors'!$A:$A,0))),"(not assigned)")</f>
        <v/>
      </c>
      <c r="H592" s="3">
        <f>IFERROR(IF(INDEX('HMM Locations'!$B:$B,MATCH(F592,'HMM Locations'!$A:$A,0))="","(not assigned)",INDEX('HMM Locations'!$B:$B,MATCH(F592,'HMM Locations'!$A:$A,0))),"(not assigned)")</f>
        <v/>
      </c>
      <c r="I592" s="3">
        <f>IFERROR(IF(INDEX('HMM Locations'!$C:$G,MATCH(F592,'HMM Locations'!$A:$A,0),D592)="","(not assigned)",INDEX('HMM Locations'!$C:$G,MATCH(F592,'HMM Locations'!$A:$A,0),D592)),"(not assigned)")</f>
        <v/>
      </c>
      <c r="J592" s="3">
        <f>IF(COUNTIF(G592:I592,"(not assigned)")=0,"Ready","Needs grid entry")</f>
        <v/>
      </c>
      <c r="K592" s="3" t="inlineStr"/>
      <c r="L592" s="3" t="inlineStr">
        <is>
          <t>欢迎</t>
        </is>
      </c>
    </row>
    <row r="593" ht="15.75" customHeight="1" s="9">
      <c r="A593" s="7" t="inlineStr">
        <is>
          <t>用</t>
        </is>
      </c>
      <c r="B593" s="7" t="n">
        <v>3</v>
      </c>
      <c r="C593" s="3" t="inlineStr">
        <is>
          <t>yòng</t>
        </is>
      </c>
      <c r="D593" s="3" t="n">
        <v>4</v>
      </c>
      <c r="E593" s="3" t="inlineStr">
        <is>
          <t>Y</t>
        </is>
      </c>
      <c r="F593" s="3" t="inlineStr">
        <is>
          <t>ONG</t>
        </is>
      </c>
      <c r="G593" s="3">
        <f>IFERROR(IF(INDEX('HMM Actors'!$B:$B,MATCH(E593,'HMM Actors'!$A:$A,0))="","(not assigned)",INDEX('HMM Actors'!$B:$B,MATCH(E593,'HMM Actors'!$A:$A,0))),"(not assigned)")</f>
        <v/>
      </c>
      <c r="H593" s="3">
        <f>IFERROR(IF(INDEX('HMM Locations'!$B:$B,MATCH(F593,'HMM Locations'!$A:$A,0))="","(not assigned)",INDEX('HMM Locations'!$B:$B,MATCH(F593,'HMM Locations'!$A:$A,0))),"(not assigned)")</f>
        <v/>
      </c>
      <c r="I593" s="3">
        <f>IFERROR(IF(INDEX('HMM Locations'!$C:$G,MATCH(F593,'HMM Locations'!$A:$A,0),D593)="","(not assigned)",INDEX('HMM Locations'!$C:$G,MATCH(F593,'HMM Locations'!$A:$A,0),D593)),"(not assigned)")</f>
        <v/>
      </c>
      <c r="J593" s="3">
        <f>IF(COUNTIF(G593:I593,"(not assigned)")=0,"Ready","Needs grid entry")</f>
        <v/>
      </c>
      <c r="K593" s="3" t="inlineStr"/>
      <c r="L593" s="3" t="inlineStr">
        <is>
          <t>信用卡、用</t>
        </is>
      </c>
    </row>
    <row r="594" ht="15.75" customHeight="1" s="9">
      <c r="A594" s="7" t="inlineStr">
        <is>
          <t>邮</t>
        </is>
      </c>
      <c r="B594" s="7" t="n">
        <v>3</v>
      </c>
      <c r="C594" s="3" t="inlineStr">
        <is>
          <t>yóu</t>
        </is>
      </c>
      <c r="D594" s="3" t="n">
        <v>2</v>
      </c>
      <c r="E594" s="3" t="inlineStr">
        <is>
          <t>Y</t>
        </is>
      </c>
      <c r="F594" s="3" t="inlineStr">
        <is>
          <t>OU</t>
        </is>
      </c>
      <c r="G594" s="3">
        <f>IFERROR(IF(INDEX('HMM Actors'!$B:$B,MATCH(E594,'HMM Actors'!$A:$A,0))="","(not assigned)",INDEX('HMM Actors'!$B:$B,MATCH(E594,'HMM Actors'!$A:$A,0))),"(not assigned)")</f>
        <v/>
      </c>
      <c r="H594" s="3">
        <f>IFERROR(IF(INDEX('HMM Locations'!$B:$B,MATCH(F594,'HMM Locations'!$A:$A,0))="","(not assigned)",INDEX('HMM Locations'!$B:$B,MATCH(F594,'HMM Locations'!$A:$A,0))),"(not assigned)")</f>
        <v/>
      </c>
      <c r="I594" s="3">
        <f>IFERROR(IF(INDEX('HMM Locations'!$C:$G,MATCH(F594,'HMM Locations'!$A:$A,0),D594)="","(not assigned)",INDEX('HMM Locations'!$C:$G,MATCH(F594,'HMM Locations'!$A:$A,0),D594)),"(not assigned)")</f>
        <v/>
      </c>
      <c r="J594" s="3">
        <f>IF(COUNTIF(G594:I594,"(not assigned)")=0,"Ready","Needs grid entry")</f>
        <v/>
      </c>
      <c r="K594" s="3" t="inlineStr"/>
      <c r="L594" s="3" t="inlineStr">
        <is>
          <t>电子邮件</t>
        </is>
      </c>
    </row>
    <row r="595" ht="15.75" customHeight="1" s="9">
      <c r="A595" s="7" t="inlineStr">
        <is>
          <t>又</t>
        </is>
      </c>
      <c r="B595" s="7" t="n">
        <v>3</v>
      </c>
      <c r="C595" s="3" t="inlineStr">
        <is>
          <t>yòu</t>
        </is>
      </c>
      <c r="D595" s="3" t="n">
        <v>4</v>
      </c>
      <c r="E595" s="3" t="inlineStr">
        <is>
          <t>Y</t>
        </is>
      </c>
      <c r="F595" s="3" t="inlineStr">
        <is>
          <t>OU</t>
        </is>
      </c>
      <c r="G595" s="3">
        <f>IFERROR(IF(INDEX('HMM Actors'!$B:$B,MATCH(E595,'HMM Actors'!$A:$A,0))="","(not assigned)",INDEX('HMM Actors'!$B:$B,MATCH(E595,'HMM Actors'!$A:$A,0))),"(not assigned)")</f>
        <v/>
      </c>
      <c r="H595" s="3">
        <f>IFERROR(IF(INDEX('HMM Locations'!$B:$B,MATCH(F595,'HMM Locations'!$A:$A,0))="","(not assigned)",INDEX('HMM Locations'!$B:$B,MATCH(F595,'HMM Locations'!$A:$A,0))),"(not assigned)")</f>
        <v/>
      </c>
      <c r="I595" s="3">
        <f>IFERROR(IF(INDEX('HMM Locations'!$C:$G,MATCH(F595,'HMM Locations'!$A:$A,0),D595)="","(not assigned)",INDEX('HMM Locations'!$C:$G,MATCH(F595,'HMM Locations'!$A:$A,0),D595)),"(not assigned)")</f>
        <v/>
      </c>
      <c r="J595" s="3">
        <f>IF(COUNTIF(G595:I595,"(not assigned)")=0,"Ready","Needs grid entry")</f>
        <v/>
      </c>
      <c r="K595" s="3" t="inlineStr"/>
      <c r="L595" s="3" t="inlineStr">
        <is>
          <t>又</t>
        </is>
      </c>
    </row>
    <row r="596" ht="15.75" customHeight="1" s="9">
      <c r="A596" s="7" t="inlineStr">
        <is>
          <t>于</t>
        </is>
      </c>
      <c r="B596" s="7" t="n">
        <v>3</v>
      </c>
      <c r="C596" s="3" t="inlineStr">
        <is>
          <t>yú</t>
        </is>
      </c>
      <c r="D596" s="3" t="n">
        <v>2</v>
      </c>
      <c r="E596" s="3" t="inlineStr">
        <is>
          <t>Y</t>
        </is>
      </c>
      <c r="F596" s="3" t="inlineStr">
        <is>
          <t>U</t>
        </is>
      </c>
      <c r="G596" s="3">
        <f>IFERROR(IF(INDEX('HMM Actors'!$B:$B,MATCH(E596,'HMM Actors'!$A:$A,0))="","(not assigned)",INDEX('HMM Actors'!$B:$B,MATCH(E596,'HMM Actors'!$A:$A,0))),"(not assigned)")</f>
        <v/>
      </c>
      <c r="H596" s="3">
        <f>IFERROR(IF(INDEX('HMM Locations'!$B:$B,MATCH(F596,'HMM Locations'!$A:$A,0))="","(not assigned)",INDEX('HMM Locations'!$B:$B,MATCH(F596,'HMM Locations'!$A:$A,0))),"(not assigned)")</f>
        <v/>
      </c>
      <c r="I596" s="3">
        <f>IFERROR(IF(INDEX('HMM Locations'!$C:$G,MATCH(F596,'HMM Locations'!$A:$A,0),D596)="","(not assigned)",INDEX('HMM Locations'!$C:$G,MATCH(F596,'HMM Locations'!$A:$A,0),D596)),"(not assigned)")</f>
        <v/>
      </c>
      <c r="J596" s="3">
        <f>IF(COUNTIF(G596:I596,"(not assigned)")=0,"Ready","Needs grid entry")</f>
        <v/>
      </c>
      <c r="K596" s="3" t="inlineStr"/>
      <c r="L596" s="3" t="inlineStr">
        <is>
          <t>关于、终于</t>
        </is>
      </c>
    </row>
    <row r="597" ht="15.75" customHeight="1" s="9">
      <c r="A597" s="7" t="inlineStr">
        <is>
          <t>育</t>
        </is>
      </c>
      <c r="B597" s="7" t="n">
        <v>3</v>
      </c>
      <c r="C597" s="3" t="inlineStr">
        <is>
          <t>yù</t>
        </is>
      </c>
      <c r="D597" s="3" t="n">
        <v>4</v>
      </c>
      <c r="E597" s="3" t="inlineStr">
        <is>
          <t>Y</t>
        </is>
      </c>
      <c r="F597" s="3" t="inlineStr">
        <is>
          <t>U</t>
        </is>
      </c>
      <c r="G597" s="3">
        <f>IFERROR(IF(INDEX('HMM Actors'!$B:$B,MATCH(E597,'HMM Actors'!$A:$A,0))="","(not assigned)",INDEX('HMM Actors'!$B:$B,MATCH(E597,'HMM Actors'!$A:$A,0))),"(not assigned)")</f>
        <v/>
      </c>
      <c r="H597" s="3">
        <f>IFERROR(IF(INDEX('HMM Locations'!$B:$B,MATCH(F597,'HMM Locations'!$A:$A,0))="","(not assigned)",INDEX('HMM Locations'!$B:$B,MATCH(F597,'HMM Locations'!$A:$A,0))),"(not assigned)")</f>
        <v/>
      </c>
      <c r="I597" s="3">
        <f>IFERROR(IF(INDEX('HMM Locations'!$C:$G,MATCH(F597,'HMM Locations'!$A:$A,0),D597)="","(not assigned)",INDEX('HMM Locations'!$C:$G,MATCH(F597,'HMM Locations'!$A:$A,0),D597)),"(not assigned)")</f>
        <v/>
      </c>
      <c r="J597" s="3">
        <f>IF(COUNTIF(G597:I597,"(not assigned)")=0,"Ready","Needs grid entry")</f>
        <v/>
      </c>
      <c r="K597" s="3" t="inlineStr"/>
      <c r="L597" s="3" t="inlineStr">
        <is>
          <t>体育</t>
        </is>
      </c>
    </row>
    <row r="598" ht="15.75" customHeight="1" s="9">
      <c r="A598" s="7" t="inlineStr">
        <is>
          <t>遇</t>
        </is>
      </c>
      <c r="B598" s="7" t="n">
        <v>3</v>
      </c>
      <c r="C598" s="3" t="inlineStr">
        <is>
          <t>yù</t>
        </is>
      </c>
      <c r="D598" s="3" t="n">
        <v>4</v>
      </c>
      <c r="E598" s="3" t="inlineStr">
        <is>
          <t>Y</t>
        </is>
      </c>
      <c r="F598" s="3" t="inlineStr">
        <is>
          <t>U</t>
        </is>
      </c>
      <c r="G598" s="3">
        <f>IFERROR(IF(INDEX('HMM Actors'!$B:$B,MATCH(E598,'HMM Actors'!$A:$A,0))="","(not assigned)",INDEX('HMM Actors'!$B:$B,MATCH(E598,'HMM Actors'!$A:$A,0))),"(not assigned)")</f>
        <v/>
      </c>
      <c r="H598" s="3">
        <f>IFERROR(IF(INDEX('HMM Locations'!$B:$B,MATCH(F598,'HMM Locations'!$A:$A,0))="","(not assigned)",INDEX('HMM Locations'!$B:$B,MATCH(F598,'HMM Locations'!$A:$A,0))),"(not assigned)")</f>
        <v/>
      </c>
      <c r="I598" s="3">
        <f>IFERROR(IF(INDEX('HMM Locations'!$C:$G,MATCH(F598,'HMM Locations'!$A:$A,0),D598)="","(not assigned)",INDEX('HMM Locations'!$C:$G,MATCH(F598,'HMM Locations'!$A:$A,0),D598)),"(not assigned)")</f>
        <v/>
      </c>
      <c r="J598" s="3">
        <f>IF(COUNTIF(G598:I598,"(not assigned)")=0,"Ready","Needs grid entry")</f>
        <v/>
      </c>
      <c r="K598" s="3" t="inlineStr"/>
      <c r="L598" s="3" t="inlineStr">
        <is>
          <t>遇到</t>
        </is>
      </c>
    </row>
    <row r="599" ht="15.75" customHeight="1" s="9">
      <c r="A599" s="7" t="inlineStr">
        <is>
          <t>元</t>
        </is>
      </c>
      <c r="B599" s="7" t="n">
        <v>3</v>
      </c>
      <c r="C599" s="3" t="inlineStr">
        <is>
          <t>yuán</t>
        </is>
      </c>
      <c r="D599" s="3" t="n">
        <v>2</v>
      </c>
      <c r="E599" s="3" t="inlineStr">
        <is>
          <t>Y</t>
        </is>
      </c>
      <c r="F599" s="3" t="inlineStr">
        <is>
          <t>UAN (14th, Jacob-specific)</t>
        </is>
      </c>
      <c r="G599" s="3">
        <f>IFERROR(IF(INDEX('HMM Actors'!$B:$B,MATCH(E599,'HMM Actors'!$A:$A,0))="","(not assigned)",INDEX('HMM Actors'!$B:$B,MATCH(E599,'HMM Actors'!$A:$A,0))),"(not assigned)")</f>
        <v/>
      </c>
      <c r="H599" s="3">
        <f>IFERROR(IF(INDEX('HMM Locations'!$B:$B,MATCH(F599,'HMM Locations'!$A:$A,0))="","(not assigned)",INDEX('HMM Locations'!$B:$B,MATCH(F599,'HMM Locations'!$A:$A,0))),"(not assigned)")</f>
        <v/>
      </c>
      <c r="I599" s="3">
        <f>IFERROR(IF(INDEX('HMM Locations'!$C:$G,MATCH(F599,'HMM Locations'!$A:$A,0),D599)="","(not assigned)",INDEX('HMM Locations'!$C:$G,MATCH(F599,'HMM Locations'!$A:$A,0),D599)),"(not assigned)")</f>
        <v/>
      </c>
      <c r="J599" s="3">
        <f>IF(COUNTIF(G599:I599,"(not assigned)")=0,"Ready","Needs grid entry")</f>
        <v/>
      </c>
      <c r="K599" s="3" t="inlineStr"/>
      <c r="L599" s="3" t="inlineStr">
        <is>
          <t>元</t>
        </is>
      </c>
    </row>
    <row r="600" ht="15.75" customHeight="1" s="9">
      <c r="A600" s="7" t="inlineStr">
        <is>
          <t>园</t>
        </is>
      </c>
      <c r="B600" s="7" t="n">
        <v>3</v>
      </c>
      <c r="C600" s="3" t="inlineStr">
        <is>
          <t>yuán</t>
        </is>
      </c>
      <c r="D600" s="3" t="n">
        <v>2</v>
      </c>
      <c r="E600" s="3" t="inlineStr">
        <is>
          <t>Y</t>
        </is>
      </c>
      <c r="F600" s="3" t="inlineStr">
        <is>
          <t>UAN (14th, Jacob-specific)</t>
        </is>
      </c>
      <c r="G600" s="3">
        <f>IFERROR(IF(INDEX('HMM Actors'!$B:$B,MATCH(E600,'HMM Actors'!$A:$A,0))="","(not assigned)",INDEX('HMM Actors'!$B:$B,MATCH(E600,'HMM Actors'!$A:$A,0))),"(not assigned)")</f>
        <v/>
      </c>
      <c r="H600" s="3">
        <f>IFERROR(IF(INDEX('HMM Locations'!$B:$B,MATCH(F600,'HMM Locations'!$A:$A,0))="","(not assigned)",INDEX('HMM Locations'!$B:$B,MATCH(F600,'HMM Locations'!$A:$A,0))),"(not assigned)")</f>
        <v/>
      </c>
      <c r="I600" s="3">
        <f>IFERROR(IF(INDEX('HMM Locations'!$C:$G,MATCH(F600,'HMM Locations'!$A:$A,0),D600)="","(not assigned)",INDEX('HMM Locations'!$C:$G,MATCH(F600,'HMM Locations'!$A:$A,0),D600)),"(not assigned)")</f>
        <v/>
      </c>
      <c r="J600" s="3">
        <f>IF(COUNTIF(G600:I600,"(not assigned)")=0,"Ready","Needs grid entry")</f>
        <v/>
      </c>
      <c r="K600" s="3" t="inlineStr"/>
      <c r="L600" s="3" t="inlineStr">
        <is>
          <t>公园</t>
        </is>
      </c>
    </row>
    <row r="601" ht="15.75" customHeight="1" s="9">
      <c r="A601" s="7" t="inlineStr">
        <is>
          <t>愿</t>
        </is>
      </c>
      <c r="B601" s="7" t="n">
        <v>3</v>
      </c>
      <c r="C601" s="3" t="inlineStr">
        <is>
          <t>yuàn</t>
        </is>
      </c>
      <c r="D601" s="3" t="n">
        <v>4</v>
      </c>
      <c r="E601" s="3" t="inlineStr">
        <is>
          <t>Y</t>
        </is>
      </c>
      <c r="F601" s="3" t="inlineStr">
        <is>
          <t>UAN (14th, Jacob-specific)</t>
        </is>
      </c>
      <c r="G601" s="3">
        <f>IFERROR(IF(INDEX('HMM Actors'!$B:$B,MATCH(E601,'HMM Actors'!$A:$A,0))="","(not assigned)",INDEX('HMM Actors'!$B:$B,MATCH(E601,'HMM Actors'!$A:$A,0))),"(not assigned)")</f>
        <v/>
      </c>
      <c r="H601" s="3">
        <f>IFERROR(IF(INDEX('HMM Locations'!$B:$B,MATCH(F601,'HMM Locations'!$A:$A,0))="","(not assigned)",INDEX('HMM Locations'!$B:$B,MATCH(F601,'HMM Locations'!$A:$A,0))),"(not assigned)")</f>
        <v/>
      </c>
      <c r="I601" s="3">
        <f>IFERROR(IF(INDEX('HMM Locations'!$C:$G,MATCH(F601,'HMM Locations'!$A:$A,0),D601)="","(not assigned)",INDEX('HMM Locations'!$C:$G,MATCH(F601,'HMM Locations'!$A:$A,0),D601)),"(not assigned)")</f>
        <v/>
      </c>
      <c r="J601" s="3">
        <f>IF(COUNTIF(G601:I601,"(not assigned)")=0,"Ready","Needs grid entry")</f>
        <v/>
      </c>
      <c r="K601" s="3" t="inlineStr"/>
      <c r="L601" s="3" t="inlineStr">
        <is>
          <t>愿意</t>
        </is>
      </c>
    </row>
    <row r="602" ht="15.75" customHeight="1" s="9">
      <c r="A602" s="7" t="inlineStr">
        <is>
          <t>越</t>
        </is>
      </c>
      <c r="B602" s="7" t="n">
        <v>3</v>
      </c>
      <c r="C602" s="3" t="inlineStr">
        <is>
          <t>yuè</t>
        </is>
      </c>
      <c r="D602" s="3" t="n">
        <v>4</v>
      </c>
      <c r="E602" s="3" t="inlineStr">
        <is>
          <t>Y</t>
        </is>
      </c>
      <c r="F602" s="3" t="inlineStr">
        <is>
          <t>UE</t>
        </is>
      </c>
      <c r="G602" s="3">
        <f>IFERROR(IF(INDEX('HMM Actors'!$B:$B,MATCH(E602,'HMM Actors'!$A:$A,0))="","(not assigned)",INDEX('HMM Actors'!$B:$B,MATCH(E602,'HMM Actors'!$A:$A,0))),"(not assigned)")</f>
        <v/>
      </c>
      <c r="H602" s="3">
        <f>IFERROR(IF(INDEX('HMM Locations'!$B:$B,MATCH(F602,'HMM Locations'!$A:$A,0))="","(not assigned)",INDEX('HMM Locations'!$B:$B,MATCH(F602,'HMM Locations'!$A:$A,0))),"(not assigned)")</f>
        <v/>
      </c>
      <c r="I602" s="3">
        <f>IFERROR(IF(INDEX('HMM Locations'!$C:$G,MATCH(F602,'HMM Locations'!$A:$A,0),D602)="","(not assigned)",INDEX('HMM Locations'!$C:$G,MATCH(F602,'HMM Locations'!$A:$A,0),D602)),"(not assigned)")</f>
        <v/>
      </c>
      <c r="J602" s="3">
        <f>IF(COUNTIF(G602:I602,"(not assigned)")=0,"Ready","Needs grid entry")</f>
        <v/>
      </c>
      <c r="K602" s="3" t="inlineStr"/>
      <c r="L602" s="3" t="inlineStr">
        <is>
          <t>越</t>
        </is>
      </c>
    </row>
    <row r="603" ht="15.75" customHeight="1" s="9">
      <c r="A603" s="7" t="inlineStr">
        <is>
          <t>澡</t>
        </is>
      </c>
      <c r="B603" s="7" t="n">
        <v>3</v>
      </c>
      <c r="C603" s="3" t="inlineStr">
        <is>
          <t>zǎo</t>
        </is>
      </c>
      <c r="D603" s="3" t="n">
        <v>3</v>
      </c>
      <c r="E603" s="3" t="inlineStr">
        <is>
          <t>Z</t>
        </is>
      </c>
      <c r="F603" s="3" t="inlineStr">
        <is>
          <t>AO</t>
        </is>
      </c>
      <c r="G603" s="3">
        <f>IFERROR(IF(INDEX('HMM Actors'!$B:$B,MATCH(E603,'HMM Actors'!$A:$A,0))="","(not assigned)",INDEX('HMM Actors'!$B:$B,MATCH(E603,'HMM Actors'!$A:$A,0))),"(not assigned)")</f>
        <v/>
      </c>
      <c r="H603" s="3">
        <f>IFERROR(IF(INDEX('HMM Locations'!$B:$B,MATCH(F603,'HMM Locations'!$A:$A,0))="","(not assigned)",INDEX('HMM Locations'!$B:$B,MATCH(F603,'HMM Locations'!$A:$A,0))),"(not assigned)")</f>
        <v/>
      </c>
      <c r="I603" s="3">
        <f>IFERROR(IF(INDEX('HMM Locations'!$C:$G,MATCH(F603,'HMM Locations'!$A:$A,0),D603)="","(not assigned)",INDEX('HMM Locations'!$C:$G,MATCH(F603,'HMM Locations'!$A:$A,0),D603)),"(not assigned)")</f>
        <v/>
      </c>
      <c r="J603" s="3">
        <f>IF(COUNTIF(G603:I603,"(not assigned)")=0,"Ready","Needs grid entry")</f>
        <v/>
      </c>
      <c r="K603" s="3" t="inlineStr"/>
      <c r="L603" s="3" t="inlineStr">
        <is>
          <t>洗澡</t>
        </is>
      </c>
    </row>
    <row r="604" ht="15.75" customHeight="1" s="9">
      <c r="A604" s="7" t="inlineStr">
        <is>
          <t>择</t>
        </is>
      </c>
      <c r="B604" s="7" t="n">
        <v>3</v>
      </c>
      <c r="C604" s="3" t="inlineStr">
        <is>
          <t>zé</t>
        </is>
      </c>
      <c r="D604" s="3" t="n">
        <v>2</v>
      </c>
      <c r="E604" s="3" t="inlineStr">
        <is>
          <t>Z</t>
        </is>
      </c>
      <c r="F604" s="3" t="inlineStr">
        <is>
          <t>E</t>
        </is>
      </c>
      <c r="G604" s="3">
        <f>IFERROR(IF(INDEX('HMM Actors'!$B:$B,MATCH(E604,'HMM Actors'!$A:$A,0))="","(not assigned)",INDEX('HMM Actors'!$B:$B,MATCH(E604,'HMM Actors'!$A:$A,0))),"(not assigned)")</f>
        <v/>
      </c>
      <c r="H604" s="3">
        <f>IFERROR(IF(INDEX('HMM Locations'!$B:$B,MATCH(F604,'HMM Locations'!$A:$A,0))="","(not assigned)",INDEX('HMM Locations'!$B:$B,MATCH(F604,'HMM Locations'!$A:$A,0))),"(not assigned)")</f>
        <v/>
      </c>
      <c r="I604" s="3">
        <f>IFERROR(IF(INDEX('HMM Locations'!$C:$G,MATCH(F604,'HMM Locations'!$A:$A,0),D604)="","(not assigned)",INDEX('HMM Locations'!$C:$G,MATCH(F604,'HMM Locations'!$A:$A,0),D604)),"(not assigned)")</f>
        <v/>
      </c>
      <c r="J604" s="3">
        <f>IF(COUNTIF(G604:I604,"(not assigned)")=0,"Ready","Needs grid entry")</f>
        <v/>
      </c>
      <c r="K604" s="3" t="inlineStr"/>
      <c r="L604" s="3" t="inlineStr">
        <is>
          <t>选择</t>
        </is>
      </c>
    </row>
    <row r="605" ht="15.75" customHeight="1" s="9">
      <c r="A605" s="7" t="inlineStr">
        <is>
          <t>张</t>
        </is>
      </c>
      <c r="B605" s="7" t="n">
        <v>3</v>
      </c>
      <c r="C605" s="3" t="inlineStr">
        <is>
          <t>zhāng</t>
        </is>
      </c>
      <c r="D605" s="3" t="n">
        <v>1</v>
      </c>
      <c r="E605" s="3" t="inlineStr">
        <is>
          <t>ZH</t>
        </is>
      </c>
      <c r="F605" s="3" t="inlineStr">
        <is>
          <t>ANG</t>
        </is>
      </c>
      <c r="G605" s="3">
        <f>IFERROR(IF(INDEX('HMM Actors'!$B:$B,MATCH(E605,'HMM Actors'!$A:$A,0))="","(not assigned)",INDEX('HMM Actors'!$B:$B,MATCH(E605,'HMM Actors'!$A:$A,0))),"(not assigned)")</f>
        <v/>
      </c>
      <c r="H605" s="3">
        <f>IFERROR(IF(INDEX('HMM Locations'!$B:$B,MATCH(F605,'HMM Locations'!$A:$A,0))="","(not assigned)",INDEX('HMM Locations'!$B:$B,MATCH(F605,'HMM Locations'!$A:$A,0))),"(not assigned)")</f>
        <v/>
      </c>
      <c r="I605" s="3">
        <f>IFERROR(IF(INDEX('HMM Locations'!$C:$G,MATCH(F605,'HMM Locations'!$A:$A,0),D605)="","(not assigned)",INDEX('HMM Locations'!$C:$G,MATCH(F605,'HMM Locations'!$A:$A,0),D605)),"(not assigned)")</f>
        <v/>
      </c>
      <c r="J605" s="3">
        <f>IF(COUNTIF(G605:I605,"(not assigned)")=0,"Ready","Needs grid entry")</f>
        <v/>
      </c>
      <c r="K605" s="3" t="inlineStr"/>
      <c r="L605" s="3" t="inlineStr">
        <is>
          <t>张</t>
        </is>
      </c>
    </row>
    <row r="606" ht="15.75" customHeight="1" s="9">
      <c r="A606" s="7" t="inlineStr">
        <is>
          <t>照</t>
        </is>
      </c>
      <c r="B606" s="7" t="n">
        <v>3</v>
      </c>
      <c r="C606" s="3" t="inlineStr">
        <is>
          <t>zhào</t>
        </is>
      </c>
      <c r="D606" s="3" t="n">
        <v>4</v>
      </c>
      <c r="E606" s="3" t="inlineStr">
        <is>
          <t>ZH</t>
        </is>
      </c>
      <c r="F606" s="3" t="inlineStr">
        <is>
          <t>AO</t>
        </is>
      </c>
      <c r="G606" s="3">
        <f>IFERROR(IF(INDEX('HMM Actors'!$B:$B,MATCH(E606,'HMM Actors'!$A:$A,0))="","(not assigned)",INDEX('HMM Actors'!$B:$B,MATCH(E606,'HMM Actors'!$A:$A,0))),"(not assigned)")</f>
        <v/>
      </c>
      <c r="H606" s="3">
        <f>IFERROR(IF(INDEX('HMM Locations'!$B:$B,MATCH(F606,'HMM Locations'!$A:$A,0))="","(not assigned)",INDEX('HMM Locations'!$B:$B,MATCH(F606,'HMM Locations'!$A:$A,0))),"(not assigned)")</f>
        <v/>
      </c>
      <c r="I606" s="3">
        <f>IFERROR(IF(INDEX('HMM Locations'!$C:$G,MATCH(F606,'HMM Locations'!$A:$A,0),D606)="","(not assigned)",INDEX('HMM Locations'!$C:$G,MATCH(F606,'HMM Locations'!$A:$A,0),D606)),"(not assigned)")</f>
        <v/>
      </c>
      <c r="J606" s="3">
        <f>IF(COUNTIF(G606:I606,"(not assigned)")=0,"Ready","Needs grid entry")</f>
        <v/>
      </c>
      <c r="K606" s="3" t="inlineStr"/>
      <c r="L606" s="3" t="inlineStr">
        <is>
          <t>护照、照顾、照片、照相机</t>
        </is>
      </c>
    </row>
    <row r="607" ht="15.75" customHeight="1" s="9">
      <c r="A607" s="7" t="inlineStr">
        <is>
          <t>者</t>
        </is>
      </c>
      <c r="B607" s="7" t="n">
        <v>3</v>
      </c>
      <c r="C607" s="3" t="inlineStr">
        <is>
          <t>zhě</t>
        </is>
      </c>
      <c r="D607" s="3" t="n">
        <v>3</v>
      </c>
      <c r="E607" s="3" t="inlineStr">
        <is>
          <t>ZH</t>
        </is>
      </c>
      <c r="F607" s="3" t="inlineStr">
        <is>
          <t>E</t>
        </is>
      </c>
      <c r="G607" s="3">
        <f>IFERROR(IF(INDEX('HMM Actors'!$B:$B,MATCH(E607,'HMM Actors'!$A:$A,0))="","(not assigned)",INDEX('HMM Actors'!$B:$B,MATCH(E607,'HMM Actors'!$A:$A,0))),"(not assigned)")</f>
        <v/>
      </c>
      <c r="H607" s="3">
        <f>IFERROR(IF(INDEX('HMM Locations'!$B:$B,MATCH(F607,'HMM Locations'!$A:$A,0))="","(not assigned)",INDEX('HMM Locations'!$B:$B,MATCH(F607,'HMM Locations'!$A:$A,0))),"(not assigned)")</f>
        <v/>
      </c>
      <c r="I607" s="3">
        <f>IFERROR(IF(INDEX('HMM Locations'!$C:$G,MATCH(F607,'HMM Locations'!$A:$A,0),D607)="","(not assigned)",INDEX('HMM Locations'!$C:$G,MATCH(F607,'HMM Locations'!$A:$A,0),D607)),"(not assigned)")</f>
        <v/>
      </c>
      <c r="J607" s="3">
        <f>IF(COUNTIF(G607:I607,"(not assigned)")=0,"Ready","Needs grid entry")</f>
        <v/>
      </c>
      <c r="K607" s="3" t="inlineStr"/>
      <c r="L607" s="3" t="inlineStr">
        <is>
          <t>或者</t>
        </is>
      </c>
    </row>
    <row r="608" ht="15.75" customHeight="1" s="9">
      <c r="A608" s="7" t="inlineStr">
        <is>
          <t>直</t>
        </is>
      </c>
      <c r="B608" s="7" t="n">
        <v>3</v>
      </c>
      <c r="C608" s="3" t="inlineStr">
        <is>
          <t>zhí</t>
        </is>
      </c>
      <c r="D608" s="3" t="n">
        <v>2</v>
      </c>
      <c r="E608" s="3" t="inlineStr">
        <is>
          <t>ZH</t>
        </is>
      </c>
      <c r="F608" s="3" t="inlineStr">
        <is>
          <t>Ø (no final)</t>
        </is>
      </c>
      <c r="G608" s="3">
        <f>IFERROR(IF(INDEX('HMM Actors'!$B:$B,MATCH(E608,'HMM Actors'!$A:$A,0))="","(not assigned)",INDEX('HMM Actors'!$B:$B,MATCH(E608,'HMM Actors'!$A:$A,0))),"(not assigned)")</f>
        <v/>
      </c>
      <c r="H608" s="3">
        <f>IFERROR(IF(INDEX('HMM Locations'!$B:$B,MATCH(F608,'HMM Locations'!$A:$A,0))="","(not assigned)",INDEX('HMM Locations'!$B:$B,MATCH(F608,'HMM Locations'!$A:$A,0))),"(not assigned)")</f>
        <v/>
      </c>
      <c r="I608" s="3">
        <f>IFERROR(IF(INDEX('HMM Locations'!$C:$G,MATCH(F608,'HMM Locations'!$A:$A,0),D608)="","(not assigned)",INDEX('HMM Locations'!$C:$G,MATCH(F608,'HMM Locations'!$A:$A,0),D608)),"(not assigned)")</f>
        <v/>
      </c>
      <c r="J608" s="3">
        <f>IF(COUNTIF(G608:I608,"(not assigned)")=0,"Ready","Needs grid entry")</f>
        <v/>
      </c>
      <c r="K608" s="3" t="inlineStr"/>
      <c r="L608" s="3" t="inlineStr">
        <is>
          <t>一直</t>
        </is>
      </c>
    </row>
    <row r="609" ht="15.75" customHeight="1" s="9">
      <c r="A609" s="7" t="inlineStr">
        <is>
          <t>只</t>
        </is>
      </c>
      <c r="B609" s="7" t="n">
        <v>3</v>
      </c>
      <c r="C609" s="3" t="inlineStr">
        <is>
          <t>zhǐ</t>
        </is>
      </c>
      <c r="D609" s="3" t="n">
        <v>3</v>
      </c>
      <c r="E609" s="3" t="inlineStr">
        <is>
          <t>ZH</t>
        </is>
      </c>
      <c r="F609" s="3" t="inlineStr">
        <is>
          <t>Ø (no final)</t>
        </is>
      </c>
      <c r="G609" s="3">
        <f>IFERROR(IF(INDEX('HMM Actors'!$B:$B,MATCH(E609,'HMM Actors'!$A:$A,0))="","(not assigned)",INDEX('HMM Actors'!$B:$B,MATCH(E609,'HMM Actors'!$A:$A,0))),"(not assigned)")</f>
        <v/>
      </c>
      <c r="H609" s="3">
        <f>IFERROR(IF(INDEX('HMM Locations'!$B:$B,MATCH(F609,'HMM Locations'!$A:$A,0))="","(not assigned)",INDEX('HMM Locations'!$B:$B,MATCH(F609,'HMM Locations'!$A:$A,0))),"(not assigned)")</f>
        <v/>
      </c>
      <c r="I609" s="3">
        <f>IFERROR(IF(INDEX('HMM Locations'!$C:$G,MATCH(F609,'HMM Locations'!$A:$A,0),D609)="","(not assigned)",INDEX('HMM Locations'!$C:$G,MATCH(F609,'HMM Locations'!$A:$A,0),D609)),"(not assigned)")</f>
        <v/>
      </c>
      <c r="J609" s="3">
        <f>IF(COUNTIF(G609:I609,"(not assigned)")=0,"Ready","Needs grid entry")</f>
        <v/>
      </c>
      <c r="K609" s="3" t="inlineStr"/>
      <c r="L609" s="3" t="inlineStr">
        <is>
          <t>只、只有…才…</t>
        </is>
      </c>
    </row>
    <row r="610" ht="15.75" customHeight="1" s="9">
      <c r="A610" s="7" t="inlineStr">
        <is>
          <t>终</t>
        </is>
      </c>
      <c r="B610" s="7" t="n">
        <v>3</v>
      </c>
      <c r="C610" s="3" t="inlineStr">
        <is>
          <t>zhōng</t>
        </is>
      </c>
      <c r="D610" s="3" t="n">
        <v>1</v>
      </c>
      <c r="E610" s="3" t="inlineStr">
        <is>
          <t>ZH</t>
        </is>
      </c>
      <c r="F610" s="3" t="inlineStr">
        <is>
          <t>ONG</t>
        </is>
      </c>
      <c r="G610" s="3">
        <f>IFERROR(IF(INDEX('HMM Actors'!$B:$B,MATCH(E610,'HMM Actors'!$A:$A,0))="","(not assigned)",INDEX('HMM Actors'!$B:$B,MATCH(E610,'HMM Actors'!$A:$A,0))),"(not assigned)")</f>
        <v/>
      </c>
      <c r="H610" s="3">
        <f>IFERROR(IF(INDEX('HMM Locations'!$B:$B,MATCH(F610,'HMM Locations'!$A:$A,0))="","(not assigned)",INDEX('HMM Locations'!$B:$B,MATCH(F610,'HMM Locations'!$A:$A,0))),"(not assigned)")</f>
        <v/>
      </c>
      <c r="I610" s="3">
        <f>IFERROR(IF(INDEX('HMM Locations'!$C:$G,MATCH(F610,'HMM Locations'!$A:$A,0),D610)="","(not assigned)",INDEX('HMM Locations'!$C:$G,MATCH(F610,'HMM Locations'!$A:$A,0),D610)),"(not assigned)")</f>
        <v/>
      </c>
      <c r="J610" s="3">
        <f>IF(COUNTIF(G610:I610,"(not assigned)")=0,"Ready","Needs grid entry")</f>
        <v/>
      </c>
      <c r="K610" s="3" t="inlineStr"/>
      <c r="L610" s="3" t="inlineStr">
        <is>
          <t>终于</t>
        </is>
      </c>
    </row>
    <row r="611" ht="15.75" customHeight="1" s="9">
      <c r="A611" s="7" t="inlineStr">
        <is>
          <t>种</t>
        </is>
      </c>
      <c r="B611" s="7" t="n">
        <v>3</v>
      </c>
      <c r="C611" s="3" t="inlineStr">
        <is>
          <t>zhǒng</t>
        </is>
      </c>
      <c r="D611" s="3" t="n">
        <v>3</v>
      </c>
      <c r="E611" s="3" t="inlineStr">
        <is>
          <t>ZH</t>
        </is>
      </c>
      <c r="F611" s="3" t="inlineStr">
        <is>
          <t>ONG</t>
        </is>
      </c>
      <c r="G611" s="3">
        <f>IFERROR(IF(INDEX('HMM Actors'!$B:$B,MATCH(E611,'HMM Actors'!$A:$A,0))="","(not assigned)",INDEX('HMM Actors'!$B:$B,MATCH(E611,'HMM Actors'!$A:$A,0))),"(not assigned)")</f>
        <v/>
      </c>
      <c r="H611" s="3">
        <f>IFERROR(IF(INDEX('HMM Locations'!$B:$B,MATCH(F611,'HMM Locations'!$A:$A,0))="","(not assigned)",INDEX('HMM Locations'!$B:$B,MATCH(F611,'HMM Locations'!$A:$A,0))),"(not assigned)")</f>
        <v/>
      </c>
      <c r="I611" s="3">
        <f>IFERROR(IF(INDEX('HMM Locations'!$C:$G,MATCH(F611,'HMM Locations'!$A:$A,0),D611)="","(not assigned)",INDEX('HMM Locations'!$C:$G,MATCH(F611,'HMM Locations'!$A:$A,0),D611)),"(not assigned)")</f>
        <v/>
      </c>
      <c r="J611" s="3">
        <f>IF(COUNTIF(G611:I611,"(not assigned)")=0,"Ready","Needs grid entry")</f>
        <v/>
      </c>
      <c r="K611" s="3" t="inlineStr"/>
      <c r="L611" s="3" t="inlineStr">
        <is>
          <t>种</t>
        </is>
      </c>
    </row>
    <row r="612" ht="15.75" customHeight="1" s="9">
      <c r="A612" s="7" t="inlineStr">
        <is>
          <t>重</t>
        </is>
      </c>
      <c r="B612" s="7" t="n">
        <v>3</v>
      </c>
      <c r="C612" s="3" t="inlineStr">
        <is>
          <t>zhòng</t>
        </is>
      </c>
      <c r="D612" s="3" t="n">
        <v>4</v>
      </c>
      <c r="E612" s="3" t="inlineStr">
        <is>
          <t>ZH</t>
        </is>
      </c>
      <c r="F612" s="3" t="inlineStr">
        <is>
          <t>ONG</t>
        </is>
      </c>
      <c r="G612" s="3">
        <f>IFERROR(IF(INDEX('HMM Actors'!$B:$B,MATCH(E612,'HMM Actors'!$A:$A,0))="","(not assigned)",INDEX('HMM Actors'!$B:$B,MATCH(E612,'HMM Actors'!$A:$A,0))),"(not assigned)")</f>
        <v/>
      </c>
      <c r="H612" s="3">
        <f>IFERROR(IF(INDEX('HMM Locations'!$B:$B,MATCH(F612,'HMM Locations'!$A:$A,0))="","(not assigned)",INDEX('HMM Locations'!$B:$B,MATCH(F612,'HMM Locations'!$A:$A,0))),"(not assigned)")</f>
        <v/>
      </c>
      <c r="I612" s="3">
        <f>IFERROR(IF(INDEX('HMM Locations'!$C:$G,MATCH(F612,'HMM Locations'!$A:$A,0),D612)="","(not assigned)",INDEX('HMM Locations'!$C:$G,MATCH(F612,'HMM Locations'!$A:$A,0),D612)),"(not assigned)")</f>
        <v/>
      </c>
      <c r="J612" s="3">
        <f>IF(COUNTIF(G612:I612,"(not assigned)")=0,"Ready","Needs grid entry")</f>
        <v/>
      </c>
      <c r="K612" s="3" t="inlineStr"/>
      <c r="L612" s="3" t="inlineStr">
        <is>
          <t>重要</t>
        </is>
      </c>
    </row>
    <row r="613" ht="15.75" customHeight="1" s="9">
      <c r="A613" s="7" t="inlineStr">
        <is>
          <t>周</t>
        </is>
      </c>
      <c r="B613" s="7" t="n">
        <v>3</v>
      </c>
      <c r="C613" s="3" t="inlineStr">
        <is>
          <t>zhōu</t>
        </is>
      </c>
      <c r="D613" s="3" t="n">
        <v>1</v>
      </c>
      <c r="E613" s="3" t="inlineStr">
        <is>
          <t>ZH</t>
        </is>
      </c>
      <c r="F613" s="3" t="inlineStr">
        <is>
          <t>OU</t>
        </is>
      </c>
      <c r="G613" s="3">
        <f>IFERROR(IF(INDEX('HMM Actors'!$B:$B,MATCH(E613,'HMM Actors'!$A:$A,0))="","(not assigned)",INDEX('HMM Actors'!$B:$B,MATCH(E613,'HMM Actors'!$A:$A,0))),"(not assigned)")</f>
        <v/>
      </c>
      <c r="H613" s="3">
        <f>IFERROR(IF(INDEX('HMM Locations'!$B:$B,MATCH(F613,'HMM Locations'!$A:$A,0))="","(not assigned)",INDEX('HMM Locations'!$B:$B,MATCH(F613,'HMM Locations'!$A:$A,0))),"(not assigned)")</f>
        <v/>
      </c>
      <c r="I613" s="3">
        <f>IFERROR(IF(INDEX('HMM Locations'!$C:$G,MATCH(F613,'HMM Locations'!$A:$A,0),D613)="","(not assigned)",INDEX('HMM Locations'!$C:$G,MATCH(F613,'HMM Locations'!$A:$A,0),D613)),"(not assigned)")</f>
        <v/>
      </c>
      <c r="J613" s="3">
        <f>IF(COUNTIF(G613:I613,"(not assigned)")=0,"Ready","Needs grid entry")</f>
        <v/>
      </c>
      <c r="K613" s="3" t="inlineStr"/>
      <c r="L613" s="3" t="inlineStr">
        <is>
          <t>周末</t>
        </is>
      </c>
    </row>
    <row r="614" ht="15.75" customHeight="1" s="9">
      <c r="A614" s="7" t="inlineStr">
        <is>
          <t>主</t>
        </is>
      </c>
      <c r="B614" s="7" t="n">
        <v>3</v>
      </c>
      <c r="C614" s="3" t="inlineStr">
        <is>
          <t>zhǔ</t>
        </is>
      </c>
      <c r="D614" s="3" t="n">
        <v>3</v>
      </c>
      <c r="E614" s="3" t="inlineStr">
        <is>
          <t>ZH</t>
        </is>
      </c>
      <c r="F614" s="3" t="inlineStr">
        <is>
          <t>U</t>
        </is>
      </c>
      <c r="G614" s="3">
        <f>IFERROR(IF(INDEX('HMM Actors'!$B:$B,MATCH(E614,'HMM Actors'!$A:$A,0))="","(not assigned)",INDEX('HMM Actors'!$B:$B,MATCH(E614,'HMM Actors'!$A:$A,0))),"(not assigned)")</f>
        <v/>
      </c>
      <c r="H614" s="3">
        <f>IFERROR(IF(INDEX('HMM Locations'!$B:$B,MATCH(F614,'HMM Locations'!$A:$A,0))="","(not assigned)",INDEX('HMM Locations'!$B:$B,MATCH(F614,'HMM Locations'!$A:$A,0))),"(not assigned)")</f>
        <v/>
      </c>
      <c r="I614" s="3">
        <f>IFERROR(IF(INDEX('HMM Locations'!$C:$G,MATCH(F614,'HMM Locations'!$A:$A,0),D614)="","(not assigned)",INDEX('HMM Locations'!$C:$G,MATCH(F614,'HMM Locations'!$A:$A,0),D614)),"(not assigned)")</f>
        <v/>
      </c>
      <c r="J614" s="3">
        <f>IF(COUNTIF(G614:I614,"(not assigned)")=0,"Ready","Needs grid entry")</f>
        <v/>
      </c>
      <c r="K614" s="3" t="inlineStr"/>
      <c r="L614" s="3" t="inlineStr">
        <is>
          <t>主要</t>
        </is>
      </c>
    </row>
    <row r="615" ht="15.75" customHeight="1" s="9">
      <c r="A615" s="7" t="inlineStr">
        <is>
          <t>注</t>
        </is>
      </c>
      <c r="B615" s="7" t="n">
        <v>3</v>
      </c>
      <c r="C615" s="3" t="inlineStr">
        <is>
          <t>zhù</t>
        </is>
      </c>
      <c r="D615" s="3" t="n">
        <v>4</v>
      </c>
      <c r="E615" s="3" t="inlineStr">
        <is>
          <t>ZH</t>
        </is>
      </c>
      <c r="F615" s="3" t="inlineStr">
        <is>
          <t>U</t>
        </is>
      </c>
      <c r="G615" s="3">
        <f>IFERROR(IF(INDEX('HMM Actors'!$B:$B,MATCH(E615,'HMM Actors'!$A:$A,0))="","(not assigned)",INDEX('HMM Actors'!$B:$B,MATCH(E615,'HMM Actors'!$A:$A,0))),"(not assigned)")</f>
        <v/>
      </c>
      <c r="H615" s="3">
        <f>IFERROR(IF(INDEX('HMM Locations'!$B:$B,MATCH(F615,'HMM Locations'!$A:$A,0))="","(not assigned)",INDEX('HMM Locations'!$B:$B,MATCH(F615,'HMM Locations'!$A:$A,0))),"(not assigned)")</f>
        <v/>
      </c>
      <c r="I615" s="3">
        <f>IFERROR(IF(INDEX('HMM Locations'!$C:$G,MATCH(F615,'HMM Locations'!$A:$A,0),D615)="","(not assigned)",INDEX('HMM Locations'!$C:$G,MATCH(F615,'HMM Locations'!$A:$A,0),D615)),"(not assigned)")</f>
        <v/>
      </c>
      <c r="J615" s="3">
        <f>IF(COUNTIF(G615:I615,"(not assigned)")=0,"Ready","Needs grid entry")</f>
        <v/>
      </c>
      <c r="K615" s="3" t="inlineStr"/>
      <c r="L615" s="3" t="inlineStr">
        <is>
          <t>注意</t>
        </is>
      </c>
    </row>
    <row r="616" ht="15.75" customHeight="1" s="9">
      <c r="A616" s="7" t="inlineStr">
        <is>
          <t>自</t>
        </is>
      </c>
      <c r="B616" s="7" t="n">
        <v>3</v>
      </c>
      <c r="C616" s="3" t="inlineStr">
        <is>
          <t>zì</t>
        </is>
      </c>
      <c r="D616" s="3" t="n">
        <v>4</v>
      </c>
      <c r="E616" s="3" t="inlineStr">
        <is>
          <t>Z</t>
        </is>
      </c>
      <c r="F616" s="3" t="inlineStr">
        <is>
          <t>Ø (no final)</t>
        </is>
      </c>
      <c r="G616" s="3">
        <f>IFERROR(IF(INDEX('HMM Actors'!$B:$B,MATCH(E616,'HMM Actors'!$A:$A,0))="","(not assigned)",INDEX('HMM Actors'!$B:$B,MATCH(E616,'HMM Actors'!$A:$A,0))),"(not assigned)")</f>
        <v/>
      </c>
      <c r="H616" s="3">
        <f>IFERROR(IF(INDEX('HMM Locations'!$B:$B,MATCH(F616,'HMM Locations'!$A:$A,0))="","(not assigned)",INDEX('HMM Locations'!$B:$B,MATCH(F616,'HMM Locations'!$A:$A,0))),"(not assigned)")</f>
        <v/>
      </c>
      <c r="I616" s="3">
        <f>IFERROR(IF(INDEX('HMM Locations'!$C:$G,MATCH(F616,'HMM Locations'!$A:$A,0),D616)="","(not assigned)",INDEX('HMM Locations'!$C:$G,MATCH(F616,'HMM Locations'!$A:$A,0),D616)),"(not assigned)")</f>
        <v/>
      </c>
      <c r="J616" s="3">
        <f>IF(COUNTIF(G616:I616,"(not assigned)")=0,"Ready","Needs grid entry")</f>
        <v/>
      </c>
      <c r="K616" s="3" t="inlineStr"/>
      <c r="L616" s="3" t="inlineStr">
        <is>
          <t>自己、自行车</t>
        </is>
      </c>
    </row>
    <row r="617" ht="15.75" customHeight="1" s="9">
      <c r="A617" s="7" t="inlineStr">
        <is>
          <t>总</t>
        </is>
      </c>
      <c r="B617" s="7" t="n">
        <v>3</v>
      </c>
      <c r="C617" s="3" t="inlineStr">
        <is>
          <t>zǒng</t>
        </is>
      </c>
      <c r="D617" s="3" t="n">
        <v>3</v>
      </c>
      <c r="E617" s="3" t="inlineStr">
        <is>
          <t>Z</t>
        </is>
      </c>
      <c r="F617" s="3" t="inlineStr">
        <is>
          <t>ONG</t>
        </is>
      </c>
      <c r="G617" s="3">
        <f>IFERROR(IF(INDEX('HMM Actors'!$B:$B,MATCH(E617,'HMM Actors'!$A:$A,0))="","(not assigned)",INDEX('HMM Actors'!$B:$B,MATCH(E617,'HMM Actors'!$A:$A,0))),"(not assigned)")</f>
        <v/>
      </c>
      <c r="H617" s="3">
        <f>IFERROR(IF(INDEX('HMM Locations'!$B:$B,MATCH(F617,'HMM Locations'!$A:$A,0))="","(not assigned)",INDEX('HMM Locations'!$B:$B,MATCH(F617,'HMM Locations'!$A:$A,0))),"(not assigned)")</f>
        <v/>
      </c>
      <c r="I617" s="3">
        <f>IFERROR(IF(INDEX('HMM Locations'!$C:$G,MATCH(F617,'HMM Locations'!$A:$A,0),D617)="","(not assigned)",INDEX('HMM Locations'!$C:$G,MATCH(F617,'HMM Locations'!$A:$A,0),D617)),"(not assigned)")</f>
        <v/>
      </c>
      <c r="J617" s="3">
        <f>IF(COUNTIF(G617:I617,"(not assigned)")=0,"Ready","Needs grid entry")</f>
        <v/>
      </c>
      <c r="K617" s="3" t="inlineStr"/>
      <c r="L617" s="3" t="inlineStr">
        <is>
          <t>总是</t>
        </is>
      </c>
    </row>
    <row r="618" ht="15.75" customHeight="1" s="9">
      <c r="A618" s="7" t="inlineStr">
        <is>
          <t>嘴</t>
        </is>
      </c>
      <c r="B618" s="7" t="n">
        <v>3</v>
      </c>
      <c r="C618" s="3" t="inlineStr">
        <is>
          <t>zuǐ</t>
        </is>
      </c>
      <c r="D618" s="3" t="n">
        <v>3</v>
      </c>
      <c r="E618" s="3" t="inlineStr">
        <is>
          <t>Z</t>
        </is>
      </c>
      <c r="F618" s="3" t="inlineStr">
        <is>
          <t>UI</t>
        </is>
      </c>
      <c r="G618" s="3">
        <f>IFERROR(IF(INDEX('HMM Actors'!$B:$B,MATCH(E618,'HMM Actors'!$A:$A,0))="","(not assigned)",INDEX('HMM Actors'!$B:$B,MATCH(E618,'HMM Actors'!$A:$A,0))),"(not assigned)")</f>
        <v/>
      </c>
      <c r="H618" s="3">
        <f>IFERROR(IF(INDEX('HMM Locations'!$B:$B,MATCH(F618,'HMM Locations'!$A:$A,0))="","(not assigned)",INDEX('HMM Locations'!$B:$B,MATCH(F618,'HMM Locations'!$A:$A,0))),"(not assigned)")</f>
        <v/>
      </c>
      <c r="I618" s="3">
        <f>IFERROR(IF(INDEX('HMM Locations'!$C:$G,MATCH(F618,'HMM Locations'!$A:$A,0),D618)="","(not assigned)",INDEX('HMM Locations'!$C:$G,MATCH(F618,'HMM Locations'!$A:$A,0),D618)),"(not assigned)")</f>
        <v/>
      </c>
      <c r="J618" s="3">
        <f>IF(COUNTIF(G618:I618,"(not assigned)")=0,"Ready","Needs grid entry")</f>
        <v/>
      </c>
      <c r="K618" s="3" t="inlineStr"/>
      <c r="L618" s="3" t="inlineStr">
        <is>
          <t>嘴</t>
        </is>
      </c>
    </row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autoFilter ref="A1:L618"/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9" min="1" max="1"/>
    <col width="30" customWidth="1" style="9" min="2" max="2"/>
    <col width="60" customWidth="1" style="9" min="3" max="3"/>
  </cols>
  <sheetData>
    <row r="1">
      <c r="A1" s="10" t="inlineStr">
        <is>
          <t>Initial</t>
        </is>
      </c>
      <c r="B1" s="10" t="inlineStr">
        <is>
          <t>Actor</t>
        </is>
      </c>
      <c r="C1" s="10" t="inlineStr">
        <is>
          <t>Notes</t>
        </is>
      </c>
    </row>
    <row r="2">
      <c r="A2" s="3" t="inlineStr">
        <is>
          <t>M</t>
        </is>
      </c>
      <c r="B2" s="3" t="inlineStr">
        <is>
          <t>Madonna</t>
        </is>
      </c>
      <c r="C2" s="3" t="inlineStr"/>
    </row>
    <row r="3">
      <c r="A3" s="3" t="inlineStr">
        <is>
          <t>K</t>
        </is>
      </c>
      <c r="B3" s="3" t="inlineStr">
        <is>
          <t>Kevin (Home Alone)</t>
        </is>
      </c>
      <c r="C3" s="3" t="inlineStr"/>
    </row>
    <row r="4">
      <c r="A4" s="3" t="inlineStr">
        <is>
          <t>G</t>
        </is>
      </c>
      <c r="B4" s="3" t="inlineStr">
        <is>
          <t>George Clooney</t>
        </is>
      </c>
      <c r="C4" s="3" t="inlineStr"/>
    </row>
    <row r="5">
      <c r="A5" s="3" t="inlineStr">
        <is>
          <t>B</t>
        </is>
      </c>
      <c r="B5" s="3" t="inlineStr">
        <is>
          <t>Brenda Felix</t>
        </is>
      </c>
      <c r="C5" s="3" t="inlineStr"/>
    </row>
    <row r="6">
      <c r="A6" s="3" t="inlineStr">
        <is>
          <t>X</t>
        </is>
      </c>
      <c r="B6" s="3" t="inlineStr">
        <is>
          <t>Cher</t>
        </is>
      </c>
      <c r="C6" s="3" t="inlineStr"/>
    </row>
    <row r="7">
      <c r="A7" s="3" t="inlineStr">
        <is>
          <t>XI</t>
        </is>
      </c>
      <c r="B7" s="3" t="inlineStr">
        <is>
          <t>Jennifer Coolidge</t>
        </is>
      </c>
      <c r="C7" s="3" t="inlineStr">
        <is>
          <t>Not used by this cross-reference: xi- syllables go to X (Cher). Remove or repurpose.</t>
        </is>
      </c>
    </row>
    <row r="8">
      <c r="A8" s="3" t="inlineStr">
        <is>
          <t>W</t>
        </is>
      </c>
      <c r="B8" s="3" t="inlineStr">
        <is>
          <t>Willy Wonka</t>
        </is>
      </c>
      <c r="C8" s="3" t="inlineStr"/>
    </row>
    <row r="9">
      <c r="A9" s="3" t="inlineStr">
        <is>
          <t>Y</t>
        </is>
      </c>
      <c r="B9" s="3" t="inlineStr">
        <is>
          <t>Weird Al</t>
        </is>
      </c>
      <c r="C9" s="3" t="inlineStr"/>
    </row>
    <row r="10">
      <c r="A10" s="3" t="inlineStr">
        <is>
          <t>N</t>
        </is>
      </c>
      <c r="B10" s="3" t="inlineStr">
        <is>
          <t>Nhi Le</t>
        </is>
      </c>
      <c r="C10" s="3" t="inlineStr"/>
    </row>
    <row r="11">
      <c r="A11" s="3" t="inlineStr">
        <is>
          <t>D</t>
        </is>
      </c>
      <c r="B11" s="3" t="inlineStr">
        <is>
          <t>Denzil Hurt</t>
        </is>
      </c>
      <c r="C11" s="3" t="inlineStr"/>
    </row>
    <row r="12">
      <c r="A12" s="3" t="inlineStr">
        <is>
          <t>L</t>
        </is>
      </c>
      <c r="B12" s="3" t="inlineStr">
        <is>
          <t>Laura</t>
        </is>
      </c>
      <c r="C12" s="3" t="inlineStr"/>
    </row>
    <row r="13">
      <c r="A13" s="3" t="inlineStr">
        <is>
          <t>ZH</t>
        </is>
      </c>
      <c r="B13" s="3" t="inlineStr">
        <is>
          <t>Judge Judy</t>
        </is>
      </c>
      <c r="C13" s="3" t="inlineStr"/>
    </row>
    <row r="14">
      <c r="A14" s="3" t="inlineStr">
        <is>
          <t>SH</t>
        </is>
      </c>
      <c r="B14" s="3" t="inlineStr">
        <is>
          <t>Shannon</t>
        </is>
      </c>
      <c r="C14" s="3" t="inlineStr"/>
    </row>
    <row r="15">
      <c r="A15" s="3" t="inlineStr">
        <is>
          <t>P</t>
        </is>
      </c>
      <c r="B15" s="3" t="inlineStr">
        <is>
          <t>Prince</t>
        </is>
      </c>
      <c r="C15" s="3" t="inlineStr"/>
    </row>
    <row r="16">
      <c r="A16" s="3" t="inlineStr">
        <is>
          <t>F</t>
        </is>
      </c>
      <c r="B16" s="3" t="inlineStr">
        <is>
          <t>Fran Drescher</t>
        </is>
      </c>
      <c r="C16" s="3" t="inlineStr"/>
    </row>
    <row r="17">
      <c r="A17" s="3" t="inlineStr">
        <is>
          <t>T</t>
        </is>
      </c>
      <c r="B17" s="3" t="inlineStr">
        <is>
          <t>Taylor Swift</t>
        </is>
      </c>
      <c r="C17" s="3" t="inlineStr"/>
    </row>
    <row r="18">
      <c r="A18" s="3" t="inlineStr">
        <is>
          <t>H</t>
        </is>
      </c>
      <c r="B18" s="3" t="inlineStr">
        <is>
          <t>Hugh Jackman</t>
        </is>
      </c>
      <c r="C18" s="3" t="inlineStr"/>
    </row>
    <row r="19">
      <c r="A19" s="3" t="inlineStr">
        <is>
          <t>J</t>
        </is>
      </c>
      <c r="B19" s="3" t="inlineStr">
        <is>
          <t>Julia Roberts</t>
        </is>
      </c>
      <c r="C19" s="3" t="inlineStr"/>
    </row>
    <row r="20">
      <c r="A20" s="3" t="inlineStr">
        <is>
          <t>Q</t>
        </is>
      </c>
      <c r="B20" s="3" t="inlineStr">
        <is>
          <t>Queen Elizabeth II (QE2)</t>
        </is>
      </c>
      <c r="C20" s="3" t="inlineStr"/>
    </row>
    <row r="21">
      <c r="A21" s="3" t="inlineStr">
        <is>
          <t>CH</t>
        </is>
      </c>
      <c r="B21" s="3" t="inlineStr">
        <is>
          <t>Channing Tatum</t>
        </is>
      </c>
      <c r="C21" s="3" t="inlineStr"/>
    </row>
    <row r="22">
      <c r="A22" s="3" t="inlineStr">
        <is>
          <t>R</t>
        </is>
      </c>
      <c r="B22" s="3" t="inlineStr">
        <is>
          <t>RuPaul</t>
        </is>
      </c>
      <c r="C22" s="3" t="inlineStr"/>
    </row>
    <row r="23">
      <c r="A23" s="3" t="inlineStr">
        <is>
          <t>Z</t>
        </is>
      </c>
      <c r="B23" s="3" t="inlineStr">
        <is>
          <t>Zac Efron</t>
        </is>
      </c>
      <c r="C23" s="3" t="inlineStr"/>
    </row>
    <row r="24">
      <c r="A24" s="3" t="inlineStr">
        <is>
          <t>C</t>
        </is>
      </c>
      <c r="B24" s="3" t="inlineStr">
        <is>
          <t>Celine Dion</t>
        </is>
      </c>
      <c r="C24" s="3" t="inlineStr"/>
    </row>
    <row r="25">
      <c r="A25" s="3" t="inlineStr">
        <is>
          <t>S</t>
        </is>
      </c>
      <c r="B25" s="3" t="inlineStr">
        <is>
          <t>Sandra Bullock</t>
        </is>
      </c>
      <c r="C25" s="3" t="inlineStr"/>
    </row>
    <row r="26">
      <c r="A26" s="3" t="inlineStr">
        <is>
          <t>Ø</t>
        </is>
      </c>
      <c r="B26" s="14" t="n"/>
      <c r="C26" s="3" t="inlineStr">
        <is>
          <t>Actor for syllables with no initial (ài, ān, ér, ō …). Fill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9" min="1" max="1"/>
    <col width="30" customWidth="1" style="9" min="2" max="2"/>
    <col width="32" customWidth="1" style="9" min="3" max="3"/>
    <col width="32" customWidth="1" style="9" min="4" max="4"/>
    <col width="32" customWidth="1" style="9" min="5" max="5"/>
    <col width="32" customWidth="1" style="9" min="6" max="6"/>
    <col width="26" customWidth="1" style="9" min="7" max="7"/>
  </cols>
  <sheetData>
    <row r="1">
      <c r="A1" s="10" t="inlineStr">
        <is>
          <t>Final</t>
        </is>
      </c>
      <c r="B1" s="10" t="inlineStr">
        <is>
          <t>Set (Location)</t>
        </is>
      </c>
      <c r="C1" s="10" t="inlineStr">
        <is>
          <t>Tone 1 area</t>
        </is>
      </c>
      <c r="D1" s="10" t="inlineStr">
        <is>
          <t>Tone 2 area</t>
        </is>
      </c>
      <c r="E1" s="10" t="inlineStr">
        <is>
          <t>Tone 3 area</t>
        </is>
      </c>
      <c r="F1" s="10" t="inlineStr">
        <is>
          <t>Tone 4 area</t>
        </is>
      </c>
      <c r="G1" s="10" t="inlineStr">
        <is>
          <t>Neutral tone area</t>
        </is>
      </c>
      <c r="I1" s="15" t="inlineStr">
        <is>
          <t>Yellow cells are empty grid slots. Fill them in and the Unique Hanzi sheet updates automatically.</t>
        </is>
      </c>
    </row>
    <row r="2">
      <c r="A2" s="3" t="inlineStr">
        <is>
          <t>Ø (no final)</t>
        </is>
      </c>
      <c r="B2" s="3" t="inlineStr">
        <is>
          <t>Karlštejn Castle</t>
        </is>
      </c>
      <c r="C2" s="3" t="inlineStr">
        <is>
          <t>Gatehouse</t>
        </is>
      </c>
      <c r="D2" s="3" t="inlineStr">
        <is>
          <t>Great Tower</t>
        </is>
      </c>
      <c r="E2" s="3" t="inlineStr">
        <is>
          <t>Chapel of the Holy Cross</t>
        </is>
      </c>
      <c r="F2" s="3" t="inlineStr">
        <is>
          <t>Dungeon</t>
        </is>
      </c>
      <c r="G2" s="14" t="n"/>
    </row>
    <row r="3">
      <c r="A3" s="3" t="inlineStr">
        <is>
          <t>A</t>
        </is>
      </c>
      <c r="B3" s="3" t="inlineStr">
        <is>
          <t>Praha</t>
        </is>
      </c>
      <c r="C3" s="3" t="inlineStr">
        <is>
          <t>Charles Bridge</t>
        </is>
      </c>
      <c r="D3" s="3" t="inlineStr">
        <is>
          <t>Castle courtyard</t>
        </is>
      </c>
      <c r="E3" s="3" t="inlineStr">
        <is>
          <t>Wenceslas Square</t>
        </is>
      </c>
      <c r="F3" s="3" t="inlineStr">
        <is>
          <t>Vltava riverbank</t>
        </is>
      </c>
      <c r="G3" s="14" t="n"/>
    </row>
    <row r="4">
      <c r="A4" s="3" t="inlineStr">
        <is>
          <t>O</t>
        </is>
      </c>
      <c r="B4" s="3" t="inlineStr">
        <is>
          <t>Costco</t>
        </is>
      </c>
      <c r="C4" s="3" t="inlineStr">
        <is>
          <t>Food court</t>
        </is>
      </c>
      <c r="D4" s="3" t="inlineStr">
        <is>
          <t>Warehouse aisles</t>
        </is>
      </c>
      <c r="E4" s="3" t="inlineStr">
        <is>
          <t>Checkout line</t>
        </is>
      </c>
      <c r="F4" s="3" t="inlineStr">
        <is>
          <t>Parking lot</t>
        </is>
      </c>
      <c r="G4" s="14" t="n"/>
    </row>
    <row r="5">
      <c r="A5" s="3" t="inlineStr">
        <is>
          <t>E</t>
        </is>
      </c>
      <c r="B5" s="3" t="inlineStr">
        <is>
          <t>Jacob's parents' place</t>
        </is>
      </c>
      <c r="C5" s="3" t="inlineStr">
        <is>
          <t>Living room</t>
        </is>
      </c>
      <c r="D5" s="3" t="inlineStr">
        <is>
          <t>Kitchen</t>
        </is>
      </c>
      <c r="E5" s="3" t="inlineStr">
        <is>
          <t>Garage</t>
        </is>
      </c>
      <c r="F5" s="3" t="inlineStr">
        <is>
          <t>Backyard</t>
        </is>
      </c>
      <c r="G5" s="14" t="n"/>
    </row>
    <row r="6">
      <c r="A6" s="3" t="inlineStr">
        <is>
          <t>AI</t>
        </is>
      </c>
      <c r="B6" s="3" t="inlineStr">
        <is>
          <t>Sky3</t>
        </is>
      </c>
      <c r="C6" s="3" t="inlineStr">
        <is>
          <t>Rooftop kitchen — kāi 开</t>
        </is>
      </c>
      <c r="D6" s="3" t="inlineStr">
        <is>
          <t>Gym / fitness room</t>
        </is>
      </c>
      <c r="E6" s="3" t="inlineStr">
        <is>
          <t>Lobby — mǎi 买</t>
        </is>
      </c>
      <c r="F6" s="3" t="inlineStr">
        <is>
          <t>Elevator bank</t>
        </is>
      </c>
      <c r="G6" s="14" t="n"/>
    </row>
    <row r="7">
      <c r="A7" s="3" t="inlineStr">
        <is>
          <t>EI</t>
        </is>
      </c>
      <c r="B7" s="3" t="inlineStr">
        <is>
          <t>Safeway</t>
        </is>
      </c>
      <c r="C7" s="3" t="inlineStr">
        <is>
          <t>Produce section</t>
        </is>
      </c>
      <c r="D7" s="3" t="inlineStr">
        <is>
          <t>Deli counter</t>
        </is>
      </c>
      <c r="E7" s="3" t="inlineStr">
        <is>
          <t>Checkout</t>
        </is>
      </c>
      <c r="F7" s="3" t="inlineStr">
        <is>
          <t>Wine checkout lane</t>
        </is>
      </c>
      <c r="G7" s="14" t="n"/>
    </row>
    <row r="8">
      <c r="A8" s="3" t="inlineStr">
        <is>
          <t>AO</t>
        </is>
      </c>
      <c r="B8" s="3" t="inlineStr">
        <is>
          <t>Nashville townhouse</t>
        </is>
      </c>
      <c r="C8" s="3" t="inlineStr">
        <is>
          <t>Front porch</t>
        </is>
      </c>
      <c r="D8" s="3" t="inlineStr">
        <is>
          <t>Kitchen</t>
        </is>
      </c>
      <c r="E8" s="3" t="inlineStr">
        <is>
          <t>Upstairs bedroom</t>
        </is>
      </c>
      <c r="F8" s="3" t="inlineStr">
        <is>
          <t>Living room — yào 要</t>
        </is>
      </c>
      <c r="G8" s="14" t="n"/>
    </row>
    <row r="9">
      <c r="A9" s="3" t="inlineStr">
        <is>
          <t>OU</t>
        </is>
      </c>
      <c r="B9" s="3" t="inlineStr">
        <is>
          <t>Hluboká Castle</t>
        </is>
      </c>
      <c r="C9" s="3" t="inlineStr">
        <is>
          <t>Courtyard</t>
        </is>
      </c>
      <c r="D9" s="3" t="inlineStr">
        <is>
          <t>Library</t>
        </is>
      </c>
      <c r="E9" s="3" t="inlineStr">
        <is>
          <t>Tower</t>
        </is>
      </c>
      <c r="F9" s="3" t="inlineStr">
        <is>
          <t>Moat/garden</t>
        </is>
      </c>
      <c r="G9" s="14" t="n"/>
    </row>
    <row r="10">
      <c r="A10" s="3" t="inlineStr">
        <is>
          <t>AN</t>
        </is>
      </c>
      <c r="B10" s="3" t="inlineStr">
        <is>
          <t>Anděl</t>
        </is>
      </c>
      <c r="C10" s="3" t="inlineStr">
        <is>
          <t>Metro station</t>
        </is>
      </c>
      <c r="D10" s="3" t="inlineStr">
        <is>
          <t>Shopping mall</t>
        </is>
      </c>
      <c r="E10" s="3" t="inlineStr">
        <is>
          <t>Street corner</t>
        </is>
      </c>
      <c r="F10" s="3" t="inlineStr">
        <is>
          <t>Tram stop</t>
        </is>
      </c>
      <c r="G10" s="14" t="n"/>
    </row>
    <row r="11">
      <c r="A11" s="3" t="inlineStr">
        <is>
          <t>ANG</t>
        </is>
      </c>
      <c r="B11" s="3" t="inlineStr">
        <is>
          <t>Jacob's current apartment</t>
        </is>
      </c>
      <c r="C11" s="3" t="inlineStr">
        <is>
          <t>Office — bāng 帮</t>
        </is>
      </c>
      <c r="D11" s="3" t="inlineStr">
        <is>
          <t>Kitchen — máng 忙</t>
        </is>
      </c>
      <c r="E11" s="3" t="inlineStr">
        <is>
          <t>Bathroom — xiǎng 想</t>
        </is>
      </c>
      <c r="F11" s="3" t="inlineStr">
        <is>
          <t>Bedroom — wàng 忘</t>
        </is>
      </c>
      <c r="G11" s="14" t="n"/>
    </row>
    <row r="12">
      <c r="A12" s="3" t="inlineStr">
        <is>
          <t>(E)N</t>
        </is>
      </c>
      <c r="B12" s="3" t="inlineStr">
        <is>
          <t>Aberdeen</t>
        </is>
      </c>
      <c r="C12" s="3" t="inlineStr">
        <is>
          <t>Harbor</t>
        </is>
      </c>
      <c r="D12" s="3" t="inlineStr">
        <is>
          <t>High street</t>
        </is>
      </c>
      <c r="E12" s="3" t="inlineStr">
        <is>
          <t>Train station</t>
        </is>
      </c>
      <c r="F12" s="3" t="inlineStr">
        <is>
          <t>University</t>
        </is>
      </c>
      <c r="G12" s="14" t="n"/>
    </row>
    <row r="13">
      <c r="A13" s="3" t="inlineStr">
        <is>
          <t>(E)NG</t>
        </is>
      </c>
      <c r="B13" s="3" t="inlineStr">
        <is>
          <t>Old Town Square</t>
        </is>
      </c>
      <c r="C13" s="3" t="inlineStr">
        <is>
          <t>Trdelník stand</t>
        </is>
      </c>
      <c r="D13" s="3" t="inlineStr">
        <is>
          <t>Astronomical Clock — néng 能</t>
        </is>
      </c>
      <c r="E13" s="3" t="inlineStr">
        <is>
          <t>Jan Hus statue — děng 等</t>
        </is>
      </c>
      <c r="F13" s="3" t="inlineStr">
        <is>
          <t>Týn chapel</t>
        </is>
      </c>
      <c r="G13" s="14" t="n"/>
    </row>
    <row r="14">
      <c r="A14" s="3" t="inlineStr">
        <is>
          <t>ONG</t>
        </is>
      </c>
      <c r="B14" s="3" t="inlineStr">
        <is>
          <t>St. Vitus Cathedral</t>
        </is>
      </c>
      <c r="C14" s="3" t="inlineStr">
        <is>
          <t>Main nave</t>
        </is>
      </c>
      <c r="D14" s="3" t="inlineStr">
        <is>
          <t>Bell tower</t>
        </is>
      </c>
      <c r="E14" s="3" t="inlineStr">
        <is>
          <t>Crypt</t>
        </is>
      </c>
      <c r="F14" s="3" t="inlineStr">
        <is>
          <t>Rose window</t>
        </is>
      </c>
      <c r="G14" s="14" t="n"/>
    </row>
    <row r="15">
      <c r="A15" s="3" t="inlineStr">
        <is>
          <t>UAN (14th, Jacob-specific)</t>
        </is>
      </c>
      <c r="B15" s="3" t="inlineStr">
        <is>
          <t>Nike campus – Boston building</t>
        </is>
      </c>
      <c r="C15" s="3" t="inlineStr">
        <is>
          <t>The Half Pipe (biggest meeting room)</t>
        </is>
      </c>
      <c r="D15" s="3" t="inlineStr">
        <is>
          <t>Jacob's desk</t>
        </is>
      </c>
      <c r="E15" s="3" t="inlineStr">
        <is>
          <t>The front lobby</t>
        </is>
      </c>
      <c r="F15" s="3" t="inlineStr">
        <is>
          <t>The toe rail ("toe nail")</t>
        </is>
      </c>
      <c r="G15" s="14" t="n"/>
    </row>
    <row r="16">
      <c r="A16" s="3" t="inlineStr">
        <is>
          <t>I</t>
        </is>
      </c>
      <c r="B16" s="14" t="n"/>
      <c r="C16" s="14" t="n"/>
      <c r="D16" s="14" t="n"/>
      <c r="E16" s="14" t="n"/>
      <c r="F16" s="14" t="n"/>
      <c r="G16" s="14" t="n"/>
    </row>
    <row r="17">
      <c r="A17" s="3" t="inlineStr">
        <is>
          <t>U</t>
        </is>
      </c>
      <c r="B17" s="14" t="n"/>
      <c r="C17" s="14" t="n"/>
      <c r="D17" s="14" t="n"/>
      <c r="E17" s="14" t="n"/>
      <c r="F17" s="14" t="n"/>
      <c r="G17" s="14" t="n"/>
    </row>
    <row r="18">
      <c r="A18" s="3" t="inlineStr">
        <is>
          <t>IAN</t>
        </is>
      </c>
      <c r="B18" s="14" t="n"/>
      <c r="C18" s="14" t="n"/>
      <c r="D18" s="14" t="n"/>
      <c r="E18" s="14" t="n"/>
      <c r="F18" s="14" t="n"/>
      <c r="G18" s="14" t="n"/>
    </row>
    <row r="19">
      <c r="A19" s="3" t="inlineStr">
        <is>
          <t>ING</t>
        </is>
      </c>
      <c r="B19" s="14" t="n"/>
      <c r="C19" s="14" t="n"/>
      <c r="D19" s="14" t="n"/>
      <c r="E19" s="14" t="n"/>
      <c r="F19" s="14" t="n"/>
      <c r="G19" s="14" t="n"/>
    </row>
    <row r="20">
      <c r="A20" s="3" t="inlineStr">
        <is>
          <t>IAO</t>
        </is>
      </c>
      <c r="B20" s="14" t="n"/>
      <c r="C20" s="14" t="n"/>
      <c r="D20" s="14" t="n"/>
      <c r="E20" s="14" t="n"/>
      <c r="F20" s="14" t="n"/>
      <c r="G20" s="14" t="n"/>
    </row>
    <row r="21">
      <c r="A21" s="3" t="inlineStr">
        <is>
          <t>UO</t>
        </is>
      </c>
      <c r="B21" s="14" t="n"/>
      <c r="C21" s="14" t="n"/>
      <c r="D21" s="14" t="n"/>
      <c r="E21" s="14" t="n"/>
      <c r="F21" s="14" t="n"/>
      <c r="G21" s="14" t="n"/>
    </row>
    <row r="22">
      <c r="A22" s="3" t="inlineStr">
        <is>
          <t>IE</t>
        </is>
      </c>
      <c r="B22" s="14" t="n"/>
      <c r="C22" s="14" t="n"/>
      <c r="D22" s="14" t="n"/>
      <c r="E22" s="14" t="n"/>
      <c r="F22" s="14" t="n"/>
      <c r="G22" s="14" t="n"/>
    </row>
    <row r="23">
      <c r="A23" s="3" t="inlineStr">
        <is>
          <t>IN</t>
        </is>
      </c>
      <c r="B23" s="14" t="n"/>
      <c r="C23" s="14" t="n"/>
      <c r="D23" s="14" t="n"/>
      <c r="E23" s="14" t="n"/>
      <c r="F23" s="14" t="n"/>
      <c r="G23" s="14" t="n"/>
    </row>
    <row r="24">
      <c r="A24" s="3" t="inlineStr">
        <is>
          <t>IU</t>
        </is>
      </c>
      <c r="B24" s="14" t="n"/>
      <c r="C24" s="14" t="n"/>
      <c r="D24" s="14" t="n"/>
      <c r="E24" s="14" t="n"/>
      <c r="F24" s="14" t="n"/>
      <c r="G24" s="14" t="n"/>
    </row>
    <row r="25">
      <c r="A25" s="3" t="inlineStr">
        <is>
          <t>UI</t>
        </is>
      </c>
      <c r="B25" s="14" t="n"/>
      <c r="C25" s="14" t="n"/>
      <c r="D25" s="14" t="n"/>
      <c r="E25" s="14" t="n"/>
      <c r="F25" s="14" t="n"/>
      <c r="G25" s="14" t="n"/>
    </row>
    <row r="26">
      <c r="A26" s="3" t="inlineStr">
        <is>
          <t>IANG</t>
        </is>
      </c>
      <c r="B26" s="14" t="n"/>
      <c r="C26" s="14" t="n"/>
      <c r="D26" s="14" t="n"/>
      <c r="E26" s="14" t="n"/>
      <c r="F26" s="14" t="n"/>
      <c r="G26" s="14" t="n"/>
    </row>
    <row r="27">
      <c r="A27" s="3" t="inlineStr">
        <is>
          <t>UA</t>
        </is>
      </c>
      <c r="B27" s="14" t="n"/>
      <c r="C27" s="14" t="n"/>
      <c r="D27" s="14" t="n"/>
      <c r="E27" s="14" t="n"/>
      <c r="F27" s="14" t="n"/>
      <c r="G27" s="14" t="n"/>
    </row>
    <row r="28">
      <c r="A28" s="3" t="inlineStr">
        <is>
          <t>IA</t>
        </is>
      </c>
      <c r="B28" s="14" t="n"/>
      <c r="C28" s="14" t="n"/>
      <c r="D28" s="14" t="n"/>
      <c r="E28" s="14" t="n"/>
      <c r="F28" s="14" t="n"/>
      <c r="G28" s="14" t="n"/>
    </row>
    <row r="29">
      <c r="A29" s="3" t="inlineStr">
        <is>
          <t>UAI</t>
        </is>
      </c>
      <c r="B29" s="14" t="n"/>
      <c r="C29" s="14" t="n"/>
      <c r="D29" s="14" t="n"/>
      <c r="E29" s="14" t="n"/>
      <c r="F29" s="14" t="n"/>
      <c r="G29" s="14" t="n"/>
    </row>
    <row r="30">
      <c r="A30" s="3" t="inlineStr">
        <is>
          <t>UE</t>
        </is>
      </c>
      <c r="B30" s="14" t="n"/>
      <c r="C30" s="14" t="n"/>
      <c r="D30" s="14" t="n"/>
      <c r="E30" s="14" t="n"/>
      <c r="F30" s="14" t="n"/>
      <c r="G30" s="14" t="n"/>
    </row>
    <row r="31">
      <c r="A31" s="3" t="inlineStr">
        <is>
          <t>UN</t>
        </is>
      </c>
      <c r="B31" s="14" t="n"/>
      <c r="C31" s="14" t="n"/>
      <c r="D31" s="14" t="n"/>
      <c r="E31" s="14" t="n"/>
      <c r="F31" s="14" t="n"/>
      <c r="G31" s="14" t="n"/>
    </row>
    <row r="32">
      <c r="A32" s="3" t="inlineStr">
        <is>
          <t>ER</t>
        </is>
      </c>
      <c r="B32" s="14" t="n"/>
      <c r="C32" s="14" t="n"/>
      <c r="D32" s="14" t="n"/>
      <c r="E32" s="14" t="n"/>
      <c r="F32" s="14" t="n"/>
      <c r="G32" s="14" t="n"/>
    </row>
    <row r="33">
      <c r="A33" s="3" t="inlineStr">
        <is>
          <t>Ü</t>
        </is>
      </c>
      <c r="B33" s="14" t="n"/>
      <c r="C33" s="14" t="n"/>
      <c r="D33" s="14" t="n"/>
      <c r="E33" s="14" t="n"/>
      <c r="F33" s="14" t="n"/>
      <c r="G33" s="14" t="n"/>
    </row>
    <row r="34">
      <c r="A34" s="3" t="inlineStr">
        <is>
          <t>UANG</t>
        </is>
      </c>
      <c r="B34" s="14" t="n"/>
      <c r="C34" s="14" t="n"/>
      <c r="D34" s="14" t="n"/>
      <c r="E34" s="14" t="n"/>
      <c r="F34" s="14" t="n"/>
      <c r="G34" s="14" t="n"/>
    </row>
    <row r="35">
      <c r="A35" s="3" t="inlineStr">
        <is>
          <t>IONG</t>
        </is>
      </c>
      <c r="B35" s="14" t="n"/>
      <c r="C35" s="14" t="n"/>
      <c r="D35" s="14" t="n"/>
      <c r="E35" s="14" t="n"/>
      <c r="F35" s="14" t="n"/>
      <c r="G35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2026-09-23T03:45:23Z</dcterms:created>
  <dcterms:modified xsi:type="dcterms:W3CDTF">2026-09-23T03:45:23Z</dcterms:modified>
</cp:coreProperties>
</file>